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B-DEV-009\Desktop\"/>
    </mc:Choice>
  </mc:AlternateContent>
  <xr:revisionPtr revIDLastSave="0" documentId="8_{0E9F4148-292D-4FC5-9A4C-90F1A4DC424C}" xr6:coauthVersionLast="36" xr6:coauthVersionMax="36" xr10:uidLastSave="{00000000-0000-0000-0000-000000000000}"/>
  <bookViews>
    <workbookView xWindow="0" yWindow="0" windowWidth="28800" windowHeight="12180" xr2:uid="{FE7BB3CA-A90D-44F5-A2CB-4B901009797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8" i="1" l="1"/>
  <c r="AG8" i="1"/>
  <c r="AF8" i="1"/>
  <c r="AE8" i="1"/>
  <c r="AD8" i="1"/>
  <c r="AB8" i="1"/>
  <c r="AA8" i="1"/>
  <c r="Z8" i="1"/>
  <c r="Y8" i="1"/>
  <c r="X8" i="1"/>
  <c r="W8" i="1"/>
  <c r="V8" i="1"/>
  <c r="T8" i="1"/>
  <c r="S8" i="1"/>
  <c r="P8" i="1"/>
  <c r="AH7" i="1"/>
  <c r="AG7" i="1"/>
  <c r="AF7" i="1"/>
  <c r="AE7" i="1"/>
  <c r="AD7" i="1"/>
  <c r="AB7" i="1"/>
  <c r="AA7" i="1"/>
  <c r="Z7" i="1"/>
  <c r="Y7" i="1"/>
  <c r="X7" i="1"/>
  <c r="W7" i="1"/>
  <c r="V7" i="1"/>
  <c r="T7" i="1"/>
  <c r="S7" i="1"/>
  <c r="P7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I6" i="1"/>
  <c r="AC6" i="1"/>
  <c r="U6" i="1"/>
  <c r="R6" i="1"/>
  <c r="Q6" i="1"/>
  <c r="O6" i="1"/>
  <c r="BE6" i="1" s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F5" i="1"/>
  <c r="BG5" i="1" s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I5" i="1"/>
  <c r="AI8" i="1" s="1"/>
  <c r="AC5" i="1"/>
  <c r="AC7" i="1" s="1"/>
  <c r="U5" i="1"/>
  <c r="U8" i="1" s="1"/>
  <c r="R5" i="1"/>
  <c r="Q5" i="1"/>
  <c r="Q7" i="1" s="1"/>
  <c r="O5" i="1"/>
  <c r="BE5" i="1" s="1"/>
  <c r="BY6" i="1" l="1"/>
  <c r="BY5" i="1"/>
  <c r="U7" i="1"/>
  <c r="AI7" i="1"/>
  <c r="AC8" i="1"/>
  <c r="Q8" i="1"/>
</calcChain>
</file>

<file path=xl/sharedStrings.xml><?xml version="1.0" encoding="utf-8"?>
<sst xmlns="http://schemas.openxmlformats.org/spreadsheetml/2006/main" count="163" uniqueCount="117">
  <si>
    <r>
      <t xml:space="preserve">2020년도 3월 산림복지시설 운영실적
</t>
    </r>
    <r>
      <rPr>
        <b/>
        <sz val="10"/>
        <color indexed="8"/>
        <rFont val="맑은 고딕"/>
        <family val="3"/>
        <charset val="129"/>
      </rPr>
      <t xml:space="preserve">(확정실적은 </t>
    </r>
    <r>
      <rPr>
        <b/>
        <u/>
        <sz val="10"/>
        <color indexed="8"/>
        <rFont val="맑은 고딕"/>
        <family val="3"/>
        <charset val="129"/>
      </rPr>
      <t>검정</t>
    </r>
    <r>
      <rPr>
        <b/>
        <sz val="10"/>
        <color indexed="8"/>
        <rFont val="맑은 고딕"/>
        <family val="3"/>
        <charset val="129"/>
      </rPr>
      <t xml:space="preserve"> 글씨, 예약(예상)실적은</t>
    </r>
    <r>
      <rPr>
        <b/>
        <u/>
        <sz val="10"/>
        <color indexed="8"/>
        <rFont val="맑은 고딕"/>
        <family val="3"/>
        <charset val="129"/>
      </rPr>
      <t xml:space="preserve"> </t>
    </r>
    <r>
      <rPr>
        <b/>
        <u/>
        <sz val="10"/>
        <color rgb="FFFF0000"/>
        <rFont val="맑은 고딕"/>
        <family val="3"/>
        <charset val="129"/>
      </rPr>
      <t>빨강</t>
    </r>
    <r>
      <rPr>
        <b/>
        <sz val="10"/>
        <color rgb="FFFF0000"/>
        <rFont val="맑은 고딕"/>
        <family val="3"/>
        <charset val="129"/>
      </rPr>
      <t xml:space="preserve"> </t>
    </r>
    <r>
      <rPr>
        <b/>
        <sz val="10"/>
        <color indexed="8"/>
        <rFont val="맑은 고딕"/>
        <family val="3"/>
        <charset val="129"/>
      </rPr>
      <t>글씨)</t>
    </r>
    <phoneticPr fontId="8" type="noConversion"/>
  </si>
  <si>
    <t>담당구분</t>
    <phoneticPr fontId="7" type="noConversion"/>
  </si>
  <si>
    <t>통계활용 구분</t>
    <phoneticPr fontId="7" type="noConversion"/>
  </si>
  <si>
    <t>단체명</t>
    <phoneticPr fontId="8" type="noConversion"/>
  </si>
  <si>
    <t>입실일</t>
    <phoneticPr fontId="7" type="noConversion"/>
  </si>
  <si>
    <t>퇴실일</t>
    <phoneticPr fontId="8" type="noConversion"/>
  </si>
  <si>
    <t>숙박일수</t>
    <phoneticPr fontId="11" type="noConversion"/>
  </si>
  <si>
    <t>정산서기준 인원</t>
    <phoneticPr fontId="7" type="noConversion"/>
  </si>
  <si>
    <t>검증식</t>
    <phoneticPr fontId="7" type="noConversion"/>
  </si>
  <si>
    <t>성별(연인원)</t>
    <phoneticPr fontId="7" type="noConversion"/>
  </si>
  <si>
    <t>연령구분(연인원)</t>
    <phoneticPr fontId="7" type="noConversion"/>
  </si>
  <si>
    <t>매출액(단위: 원)</t>
    <phoneticPr fontId="8" type="noConversion"/>
  </si>
  <si>
    <t>비고</t>
    <phoneticPr fontId="7" type="noConversion"/>
  </si>
  <si>
    <t>취소여부</t>
    <phoneticPr fontId="7" type="noConversion"/>
  </si>
  <si>
    <t>국립산림치유원 기관코드</t>
    <phoneticPr fontId="7" type="noConversion"/>
  </si>
  <si>
    <t>월</t>
    <phoneticPr fontId="8" type="noConversion"/>
  </si>
  <si>
    <t>No.</t>
    <phoneticPr fontId="7" type="noConversion"/>
  </si>
  <si>
    <t>담당팀</t>
    <phoneticPr fontId="7" type="noConversion"/>
  </si>
  <si>
    <t>담당자</t>
    <phoneticPr fontId="7" type="noConversion"/>
  </si>
  <si>
    <t>사업별 구분</t>
    <phoneticPr fontId="7" type="noConversion"/>
  </si>
  <si>
    <t>프로그램 구분</t>
    <phoneticPr fontId="7" type="noConversion"/>
  </si>
  <si>
    <t>프로그램 유형</t>
    <phoneticPr fontId="7" type="noConversion"/>
  </si>
  <si>
    <t>개인/단체 구분</t>
    <phoneticPr fontId="7" type="noConversion"/>
  </si>
  <si>
    <t>인원유형(대분류)</t>
    <phoneticPr fontId="7" type="noConversion"/>
  </si>
  <si>
    <t>인원유형(소분류)</t>
    <phoneticPr fontId="7" type="noConversion"/>
  </si>
  <si>
    <t>인증프로그램</t>
    <phoneticPr fontId="7" type="noConversion"/>
  </si>
  <si>
    <t>순인원</t>
    <phoneticPr fontId="7" type="noConversion"/>
  </si>
  <si>
    <t>연인원</t>
    <phoneticPr fontId="8" type="noConversion"/>
  </si>
  <si>
    <t>남</t>
    <phoneticPr fontId="7" type="noConversion"/>
  </si>
  <si>
    <t>여</t>
    <phoneticPr fontId="7" type="noConversion"/>
  </si>
  <si>
    <t>합계</t>
    <phoneticPr fontId="7" type="noConversion"/>
  </si>
  <si>
    <t>미취학</t>
    <phoneticPr fontId="7" type="noConversion"/>
  </si>
  <si>
    <t>10대</t>
    <phoneticPr fontId="7" type="noConversion"/>
  </si>
  <si>
    <t>20대</t>
    <phoneticPr fontId="7" type="noConversion"/>
  </si>
  <si>
    <t>30대</t>
    <phoneticPr fontId="7" type="noConversion"/>
  </si>
  <si>
    <t>40대</t>
    <phoneticPr fontId="7" type="noConversion"/>
  </si>
  <si>
    <t>50대</t>
    <phoneticPr fontId="7" type="noConversion"/>
  </si>
  <si>
    <t>60대이상</t>
    <phoneticPr fontId="7" type="noConversion"/>
  </si>
  <si>
    <t>숙박비용</t>
    <phoneticPr fontId="8" type="noConversion"/>
  </si>
  <si>
    <t>시설이용료</t>
    <phoneticPr fontId="8" type="noConversion"/>
  </si>
  <si>
    <t>프로그램비</t>
    <phoneticPr fontId="7" type="noConversion"/>
  </si>
  <si>
    <t xml:space="preserve">식사비용 </t>
    <phoneticPr fontId="8" type="noConversion"/>
  </si>
  <si>
    <t>기타</t>
    <phoneticPr fontId="11" type="noConversion"/>
  </si>
  <si>
    <t>매출 합계</t>
    <phoneticPr fontId="8" type="noConversion"/>
  </si>
  <si>
    <t>No</t>
    <phoneticPr fontId="7" type="noConversion"/>
  </si>
  <si>
    <t>월</t>
    <phoneticPr fontId="7" type="noConversion"/>
  </si>
  <si>
    <t>단체명</t>
    <phoneticPr fontId="7" type="noConversion"/>
  </si>
  <si>
    <t>퇴실일</t>
    <phoneticPr fontId="7" type="noConversion"/>
  </si>
  <si>
    <t>숙박일수</t>
    <phoneticPr fontId="7" type="noConversion"/>
  </si>
  <si>
    <t>연인원</t>
    <phoneticPr fontId="7" type="noConversion"/>
  </si>
  <si>
    <t>숙박비용</t>
    <phoneticPr fontId="7" type="noConversion"/>
  </si>
  <si>
    <t>시설이용료</t>
    <phoneticPr fontId="7" type="noConversion"/>
  </si>
  <si>
    <t>식사비용</t>
    <phoneticPr fontId="7" type="noConversion"/>
  </si>
  <si>
    <t>기타</t>
    <phoneticPr fontId="7" type="noConversion"/>
  </si>
  <si>
    <t>완료여부</t>
    <phoneticPr fontId="7" type="noConversion"/>
  </si>
  <si>
    <t>3월</t>
  </si>
  <si>
    <t>고객만족팀</t>
    <phoneticPr fontId="7" type="noConversion"/>
  </si>
  <si>
    <t>기타</t>
  </si>
  <si>
    <t>산림치유</t>
  </si>
  <si>
    <t>일반고객</t>
  </si>
  <si>
    <t>X</t>
  </si>
  <si>
    <t>포이파트너스</t>
    <phoneticPr fontId="7" type="noConversion"/>
  </si>
  <si>
    <t>Y</t>
    <phoneticPr fontId="7" type="noConversion"/>
  </si>
  <si>
    <t>3월 가스</t>
    <phoneticPr fontId="7" type="noConversion"/>
  </si>
  <si>
    <t>부 분 합 계(필터 활용 시)</t>
    <phoneticPr fontId="7" type="noConversion"/>
  </si>
  <si>
    <t>총 합 계</t>
    <phoneticPr fontId="7" type="noConversion"/>
  </si>
  <si>
    <t>산림치유팀</t>
    <phoneticPr fontId="7" type="noConversion"/>
  </si>
  <si>
    <t>숲체험교육사업</t>
    <phoneticPr fontId="7" type="noConversion"/>
  </si>
  <si>
    <t>산림교육</t>
    <phoneticPr fontId="7" type="noConversion"/>
  </si>
  <si>
    <t>시설 내(대면)</t>
    <phoneticPr fontId="7" type="noConversion"/>
  </si>
  <si>
    <t>개인</t>
    <phoneticPr fontId="7" type="noConversion"/>
  </si>
  <si>
    <t>청소년(일반)</t>
    <phoneticPr fontId="7" type="noConversion"/>
  </si>
  <si>
    <t>초등</t>
    <phoneticPr fontId="7" type="noConversion"/>
  </si>
  <si>
    <t>O</t>
    <phoneticPr fontId="7" type="noConversion"/>
  </si>
  <si>
    <t>산림교육팀</t>
    <phoneticPr fontId="7" type="noConversion"/>
  </si>
  <si>
    <t>이용권지원사업</t>
    <phoneticPr fontId="7" type="noConversion"/>
  </si>
  <si>
    <t>산림치유</t>
    <phoneticPr fontId="7" type="noConversion"/>
  </si>
  <si>
    <t>시설 내(비대면)</t>
    <phoneticPr fontId="7" type="noConversion"/>
  </si>
  <si>
    <t>단체</t>
    <phoneticPr fontId="7" type="noConversion"/>
  </si>
  <si>
    <t>청소년학교</t>
    <phoneticPr fontId="7" type="noConversion"/>
  </si>
  <si>
    <t>중등</t>
    <phoneticPr fontId="7" type="noConversion"/>
  </si>
  <si>
    <t>X</t>
    <phoneticPr fontId="7" type="noConversion"/>
  </si>
  <si>
    <t>운영</t>
    <phoneticPr fontId="7" type="noConversion"/>
  </si>
  <si>
    <t>고객지원팀</t>
    <phoneticPr fontId="7" type="noConversion"/>
  </si>
  <si>
    <t>MOU연계사업</t>
    <phoneticPr fontId="7" type="noConversion"/>
  </si>
  <si>
    <t>시설 외(대면)</t>
    <phoneticPr fontId="7" type="noConversion"/>
  </si>
  <si>
    <t>노인(만65세이상)</t>
    <phoneticPr fontId="7" type="noConversion"/>
  </si>
  <si>
    <t>고등</t>
    <phoneticPr fontId="7" type="noConversion"/>
  </si>
  <si>
    <t>취소</t>
    <phoneticPr fontId="7" type="noConversion"/>
  </si>
  <si>
    <t>정부 연계사업</t>
    <phoneticPr fontId="7" type="noConversion"/>
  </si>
  <si>
    <t>시설 외(비대면)</t>
    <phoneticPr fontId="7" type="noConversion"/>
  </si>
  <si>
    <t>장애인</t>
    <phoneticPr fontId="7" type="noConversion"/>
  </si>
  <si>
    <t>보호관찰청소년</t>
    <phoneticPr fontId="7" type="noConversion"/>
  </si>
  <si>
    <t>일반고객</t>
    <phoneticPr fontId="7" type="noConversion"/>
  </si>
  <si>
    <t>저소득층</t>
    <phoneticPr fontId="7" type="noConversion"/>
  </si>
  <si>
    <t>방과후 학교</t>
    <phoneticPr fontId="7" type="noConversion"/>
  </si>
  <si>
    <t>관심가정</t>
    <phoneticPr fontId="7" type="noConversion"/>
  </si>
  <si>
    <t>자유학기제</t>
    <phoneticPr fontId="7" type="noConversion"/>
  </si>
  <si>
    <t>무료고객</t>
    <phoneticPr fontId="7" type="noConversion"/>
  </si>
  <si>
    <t>건강이상고객</t>
    <phoneticPr fontId="7" type="noConversion"/>
  </si>
  <si>
    <t>일반</t>
    <phoneticPr fontId="7" type="noConversion"/>
  </si>
  <si>
    <t>치매노인</t>
    <phoneticPr fontId="7" type="noConversion"/>
  </si>
  <si>
    <t>교원직무연수</t>
    <phoneticPr fontId="7" type="noConversion"/>
  </si>
  <si>
    <t>유아</t>
    <phoneticPr fontId="7" type="noConversion"/>
  </si>
  <si>
    <t>기초생활수급자</t>
    <phoneticPr fontId="7" type="noConversion"/>
  </si>
  <si>
    <t>차상위계층</t>
    <phoneticPr fontId="7" type="noConversion"/>
  </si>
  <si>
    <t>한부모가정</t>
    <phoneticPr fontId="7" type="noConversion"/>
  </si>
  <si>
    <t>다문화가정</t>
    <phoneticPr fontId="7" type="noConversion"/>
  </si>
  <si>
    <t>소년소녀가장</t>
    <phoneticPr fontId="7" type="noConversion"/>
  </si>
  <si>
    <t>치매예방</t>
    <phoneticPr fontId="7" type="noConversion"/>
  </si>
  <si>
    <t>그외 관심가정</t>
    <phoneticPr fontId="7" type="noConversion"/>
  </si>
  <si>
    <t>암환자</t>
    <phoneticPr fontId="7" type="noConversion"/>
  </si>
  <si>
    <t>알코올중독</t>
    <phoneticPr fontId="7" type="noConversion"/>
  </si>
  <si>
    <t>인터넷/스마트폰 중독</t>
    <phoneticPr fontId="7" type="noConversion"/>
  </si>
  <si>
    <t>PTSD</t>
    <phoneticPr fontId="7" type="noConversion"/>
  </si>
  <si>
    <t>ADHD</t>
    <phoneticPr fontId="7" type="noConversion"/>
  </si>
  <si>
    <t>그외 건강이상고객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</si>
</sst>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m&quot;/&quot;d;@"/>
    <numFmt numFmtId="178" formatCode="#,##0;[Red]#,##0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u/>
      <sz val="16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u/>
      <sz val="10"/>
      <color indexed="8"/>
      <name val="맑은 고딕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9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name val="맑은 고딕"/>
      <family val="3"/>
      <charset val="129"/>
    </font>
    <font>
      <sz val="11"/>
      <color indexed="8"/>
      <name val="맑은 고딕"/>
      <family val="3"/>
      <charset val="129"/>
    </font>
    <font>
      <i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</cellStyleXfs>
  <cellXfs count="129">
    <xf numFmtId="0" fontId="0" fillId="0" borderId="0" xfId="0">
      <alignment vertical="center"/>
    </xf>
    <xf numFmtId="0" fontId="2" fillId="2" borderId="0" xfId="0" applyFont="1" applyFill="1" applyBorder="1" applyAlignment="1">
      <alignment horizontal="center" vertical="center" wrapText="1"/>
    </xf>
    <xf numFmtId="0" fontId="9" fillId="0" borderId="0" xfId="0" applyFont="1" applyBorder="1">
      <alignment vertical="center"/>
    </xf>
    <xf numFmtId="0" fontId="0" fillId="0" borderId="0" xfId="0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10" fillId="3" borderId="2" xfId="0" applyFont="1" applyFill="1" applyBorder="1" applyAlignment="1">
      <alignment horizontal="center" vertical="center" shrinkToFit="1"/>
    </xf>
    <xf numFmtId="0" fontId="10" fillId="3" borderId="3" xfId="0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shrinkToFit="1"/>
    </xf>
    <xf numFmtId="0" fontId="10" fillId="5" borderId="5" xfId="0" applyFont="1" applyFill="1" applyBorder="1" applyAlignment="1">
      <alignment horizontal="center" vertical="center" shrinkToFit="1"/>
    </xf>
    <xf numFmtId="0" fontId="10" fillId="5" borderId="6" xfId="0" applyFont="1" applyFill="1" applyBorder="1" applyAlignment="1">
      <alignment horizontal="center" vertical="center" shrinkToFit="1"/>
    </xf>
    <xf numFmtId="0" fontId="10" fillId="5" borderId="7" xfId="0" applyFont="1" applyFill="1" applyBorder="1" applyAlignment="1">
      <alignment horizontal="center" vertical="center" shrinkToFit="1"/>
    </xf>
    <xf numFmtId="0" fontId="12" fillId="6" borderId="8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 shrinkToFit="1"/>
    </xf>
    <xf numFmtId="176" fontId="12" fillId="8" borderId="8" xfId="0" applyNumberFormat="1" applyFont="1" applyFill="1" applyBorder="1" applyAlignment="1">
      <alignment horizontal="center" vertical="center"/>
    </xf>
    <xf numFmtId="176" fontId="12" fillId="8" borderId="10" xfId="0" applyNumberFormat="1" applyFont="1" applyFill="1" applyBorder="1" applyAlignment="1">
      <alignment horizontal="center" vertical="center"/>
    </xf>
    <xf numFmtId="176" fontId="12" fillId="8" borderId="11" xfId="0" applyNumberFormat="1" applyFont="1" applyFill="1" applyBorder="1" applyAlignment="1">
      <alignment horizontal="center" vertical="center"/>
    </xf>
    <xf numFmtId="176" fontId="12" fillId="5" borderId="8" xfId="0" applyNumberFormat="1" applyFont="1" applyFill="1" applyBorder="1" applyAlignment="1">
      <alignment horizontal="center" vertical="center"/>
    </xf>
    <xf numFmtId="176" fontId="12" fillId="5" borderId="10" xfId="0" applyNumberFormat="1" applyFont="1" applyFill="1" applyBorder="1" applyAlignment="1">
      <alignment horizontal="center" vertical="center"/>
    </xf>
    <xf numFmtId="176" fontId="12" fillId="5" borderId="11" xfId="0" applyNumberFormat="1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 shrinkToFit="1"/>
    </xf>
    <xf numFmtId="0" fontId="13" fillId="3" borderId="4" xfId="0" applyFont="1" applyFill="1" applyBorder="1" applyAlignment="1">
      <alignment horizontal="center" vertical="center" shrinkToFit="1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14" fillId="0" borderId="0" xfId="0" applyFont="1" applyBorder="1">
      <alignment vertical="center"/>
    </xf>
    <xf numFmtId="0" fontId="10" fillId="3" borderId="13" xfId="0" applyFont="1" applyFill="1" applyBorder="1" applyAlignment="1">
      <alignment horizontal="center" vertical="center" shrinkToFit="1"/>
    </xf>
    <xf numFmtId="0" fontId="10" fillId="3" borderId="14" xfId="0" applyFont="1" applyFill="1" applyBorder="1" applyAlignment="1">
      <alignment horizontal="center" vertical="center" shrinkToFit="1"/>
    </xf>
    <xf numFmtId="0" fontId="10" fillId="3" borderId="15" xfId="0" applyFont="1" applyFill="1" applyBorder="1" applyAlignment="1">
      <alignment horizontal="center" vertical="center" shrinkToFit="1"/>
    </xf>
    <xf numFmtId="0" fontId="10" fillId="3" borderId="16" xfId="0" applyFont="1" applyFill="1" applyBorder="1" applyAlignment="1">
      <alignment horizontal="center" vertical="center" shrinkToFi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 shrinkToFit="1"/>
    </xf>
    <xf numFmtId="0" fontId="10" fillId="4" borderId="14" xfId="0" applyFont="1" applyFill="1" applyBorder="1" applyAlignment="1">
      <alignment horizontal="center" vertical="center" wrapText="1" shrinkToFit="1"/>
    </xf>
    <xf numFmtId="0" fontId="10" fillId="4" borderId="14" xfId="0" applyFont="1" applyFill="1" applyBorder="1" applyAlignment="1">
      <alignment horizontal="center" vertical="center" shrinkToFit="1"/>
    </xf>
    <xf numFmtId="0" fontId="10" fillId="4" borderId="15" xfId="0" applyFont="1" applyFill="1" applyBorder="1" applyAlignment="1">
      <alignment horizontal="center" vertical="center" shrinkToFit="1"/>
    </xf>
    <xf numFmtId="0" fontId="10" fillId="4" borderId="17" xfId="0" applyFont="1" applyFill="1" applyBorder="1" applyAlignment="1">
      <alignment horizontal="center" vertical="center" shrinkToFit="1"/>
    </xf>
    <xf numFmtId="0" fontId="10" fillId="5" borderId="18" xfId="0" applyFont="1" applyFill="1" applyBorder="1" applyAlignment="1">
      <alignment horizontal="center" vertical="center" shrinkToFit="1"/>
    </xf>
    <xf numFmtId="0" fontId="10" fillId="5" borderId="19" xfId="0" applyFont="1" applyFill="1" applyBorder="1" applyAlignment="1">
      <alignment horizontal="center" vertical="center" shrinkToFit="1"/>
    </xf>
    <xf numFmtId="0" fontId="10" fillId="5" borderId="20" xfId="0" applyFont="1" applyFill="1" applyBorder="1" applyAlignment="1">
      <alignment horizontal="center" vertical="center" shrinkToFit="1"/>
    </xf>
    <xf numFmtId="0" fontId="10" fillId="5" borderId="21" xfId="0" applyFont="1" applyFill="1" applyBorder="1" applyAlignment="1">
      <alignment horizontal="center" vertical="center" shrinkToFit="1"/>
    </xf>
    <xf numFmtId="0" fontId="10" fillId="6" borderId="13" xfId="0" applyFont="1" applyFill="1" applyBorder="1" applyAlignment="1">
      <alignment horizontal="center" vertical="center" shrinkToFit="1"/>
    </xf>
    <xf numFmtId="176" fontId="10" fillId="6" borderId="16" xfId="0" applyNumberFormat="1" applyFont="1" applyFill="1" applyBorder="1" applyAlignment="1">
      <alignment horizontal="center" vertical="center" shrinkToFit="1"/>
    </xf>
    <xf numFmtId="0" fontId="10" fillId="7" borderId="18" xfId="0" applyFont="1" applyFill="1" applyBorder="1" applyAlignment="1">
      <alignment horizontal="center" vertical="center" shrinkToFit="1"/>
    </xf>
    <xf numFmtId="176" fontId="10" fillId="8" borderId="13" xfId="0" applyNumberFormat="1" applyFont="1" applyFill="1" applyBorder="1" applyAlignment="1">
      <alignment horizontal="center" vertical="center" shrinkToFit="1"/>
    </xf>
    <xf numFmtId="176" fontId="10" fillId="8" borderId="15" xfId="0" applyNumberFormat="1" applyFont="1" applyFill="1" applyBorder="1" applyAlignment="1">
      <alignment horizontal="center" vertical="center" shrinkToFit="1"/>
    </xf>
    <xf numFmtId="176" fontId="10" fillId="8" borderId="17" xfId="0" applyNumberFormat="1" applyFont="1" applyFill="1" applyBorder="1" applyAlignment="1">
      <alignment horizontal="center" vertical="center" shrinkToFit="1"/>
    </xf>
    <xf numFmtId="176" fontId="10" fillId="5" borderId="13" xfId="0" applyNumberFormat="1" applyFont="1" applyFill="1" applyBorder="1" applyAlignment="1">
      <alignment horizontal="center" vertical="center" shrinkToFit="1"/>
    </xf>
    <xf numFmtId="176" fontId="10" fillId="5" borderId="15" xfId="0" applyNumberFormat="1" applyFont="1" applyFill="1" applyBorder="1" applyAlignment="1">
      <alignment horizontal="center" vertical="center" shrinkToFit="1"/>
    </xf>
    <xf numFmtId="176" fontId="10" fillId="5" borderId="17" xfId="0" applyNumberFormat="1" applyFont="1" applyFill="1" applyBorder="1" applyAlignment="1">
      <alignment horizontal="center" vertical="center" shrinkToFit="1"/>
    </xf>
    <xf numFmtId="0" fontId="10" fillId="9" borderId="14" xfId="0" applyFont="1" applyFill="1" applyBorder="1" applyAlignment="1">
      <alignment horizontal="center" vertical="center" shrinkToFit="1"/>
    </xf>
    <xf numFmtId="0" fontId="10" fillId="9" borderId="15" xfId="0" applyFont="1" applyFill="1" applyBorder="1" applyAlignment="1">
      <alignment horizontal="center" vertical="center" shrinkToFit="1"/>
    </xf>
    <xf numFmtId="0" fontId="13" fillId="3" borderId="18" xfId="0" applyFont="1" applyFill="1" applyBorder="1" applyAlignment="1">
      <alignment horizontal="center" vertical="center" shrinkToFit="1"/>
    </xf>
    <xf numFmtId="0" fontId="13" fillId="3" borderId="18" xfId="0" applyFont="1" applyFill="1" applyBorder="1" applyAlignment="1">
      <alignment horizontal="center" vertical="center" shrinkToFi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15" fillId="0" borderId="22" xfId="0" applyFont="1" applyFill="1" applyBorder="1" applyAlignment="1">
      <alignment horizontal="center" vertical="center" shrinkToFit="1"/>
    </xf>
    <xf numFmtId="0" fontId="15" fillId="0" borderId="23" xfId="0" applyFont="1" applyFill="1" applyBorder="1" applyAlignment="1">
      <alignment horizontal="center" vertical="center" shrinkToFit="1"/>
    </xf>
    <xf numFmtId="0" fontId="15" fillId="0" borderId="24" xfId="0" applyFont="1" applyFill="1" applyBorder="1" applyAlignment="1">
      <alignment horizontal="center" vertical="center" shrinkToFit="1"/>
    </xf>
    <xf numFmtId="0" fontId="15" fillId="0" borderId="25" xfId="0" applyFont="1" applyFill="1" applyBorder="1" applyAlignment="1">
      <alignment horizontal="center" vertical="center" shrinkToFit="1"/>
    </xf>
    <xf numFmtId="0" fontId="15" fillId="7" borderId="26" xfId="0" applyFont="1" applyFill="1" applyBorder="1" applyAlignment="1">
      <alignment horizontal="center" vertical="center" shrinkToFit="1"/>
    </xf>
    <xf numFmtId="0" fontId="15" fillId="0" borderId="26" xfId="0" applyFont="1" applyFill="1" applyBorder="1" applyAlignment="1">
      <alignment horizontal="center" vertical="center" wrapText="1" shrinkToFit="1"/>
    </xf>
    <xf numFmtId="0" fontId="15" fillId="0" borderId="24" xfId="0" applyFont="1" applyFill="1" applyBorder="1" applyAlignment="1">
      <alignment horizontal="center" vertical="center" wrapText="1" shrinkToFit="1"/>
    </xf>
    <xf numFmtId="0" fontId="15" fillId="0" borderId="27" xfId="0" applyFont="1" applyFill="1" applyBorder="1" applyAlignment="1">
      <alignment horizontal="center" vertical="center" wrapText="1" shrinkToFit="1"/>
    </xf>
    <xf numFmtId="0" fontId="15" fillId="0" borderId="28" xfId="0" applyFont="1" applyFill="1" applyBorder="1" applyAlignment="1">
      <alignment horizontal="center" vertical="center" wrapText="1" shrinkToFit="1"/>
    </xf>
    <xf numFmtId="0" fontId="15" fillId="0" borderId="29" xfId="0" applyNumberFormat="1" applyFont="1" applyFill="1" applyBorder="1" applyAlignment="1">
      <alignment horizontal="center" vertical="center" shrinkToFit="1"/>
    </xf>
    <xf numFmtId="177" fontId="15" fillId="0" borderId="23" xfId="0" applyNumberFormat="1" applyFont="1" applyFill="1" applyBorder="1" applyAlignment="1">
      <alignment horizontal="center" vertical="center" wrapText="1"/>
    </xf>
    <xf numFmtId="177" fontId="15" fillId="0" borderId="30" xfId="0" applyNumberFormat="1" applyFont="1" applyFill="1" applyBorder="1" applyAlignment="1">
      <alignment horizontal="center" vertical="center" shrinkToFit="1"/>
    </xf>
    <xf numFmtId="0" fontId="15" fillId="0" borderId="28" xfId="0" applyFont="1" applyFill="1" applyBorder="1" applyAlignment="1">
      <alignment horizontal="center" vertical="center" shrinkToFit="1"/>
    </xf>
    <xf numFmtId="176" fontId="15" fillId="0" borderId="30" xfId="0" applyNumberFormat="1" applyFont="1" applyFill="1" applyBorder="1" applyAlignment="1">
      <alignment horizontal="center" vertical="center" wrapText="1"/>
    </xf>
    <xf numFmtId="176" fontId="15" fillId="0" borderId="30" xfId="2" applyNumberFormat="1" applyFont="1" applyFill="1" applyBorder="1" applyAlignment="1">
      <alignment horizontal="center" vertical="center" shrinkToFit="1"/>
    </xf>
    <xf numFmtId="41" fontId="15" fillId="0" borderId="29" xfId="2" applyFont="1" applyFill="1" applyBorder="1" applyAlignment="1">
      <alignment horizontal="center" vertical="center" shrinkToFit="1"/>
    </xf>
    <xf numFmtId="176" fontId="15" fillId="0" borderId="31" xfId="2" applyNumberFormat="1" applyFont="1" applyFill="1" applyBorder="1" applyAlignment="1">
      <alignment horizontal="center" vertical="center" shrinkToFit="1"/>
    </xf>
    <xf numFmtId="176" fontId="15" fillId="0" borderId="29" xfId="2" applyNumberFormat="1" applyFont="1" applyFill="1" applyBorder="1" applyAlignment="1">
      <alignment horizontal="center" vertical="center" shrinkToFit="1"/>
    </xf>
    <xf numFmtId="41" fontId="15" fillId="0" borderId="30" xfId="3" applyNumberFormat="1" applyFont="1" applyFill="1" applyBorder="1" applyAlignment="1">
      <alignment horizontal="center" vertical="center" shrinkToFit="1"/>
    </xf>
    <xf numFmtId="41" fontId="15" fillId="0" borderId="30" xfId="2" applyNumberFormat="1" applyFont="1" applyFill="1" applyBorder="1" applyAlignment="1">
      <alignment horizontal="center" vertical="center" shrinkToFit="1"/>
    </xf>
    <xf numFmtId="41" fontId="15" fillId="0" borderId="30" xfId="2" applyFont="1" applyFill="1" applyBorder="1" applyAlignment="1">
      <alignment horizontal="center" vertical="center" shrinkToFit="1"/>
    </xf>
    <xf numFmtId="0" fontId="17" fillId="0" borderId="32" xfId="0" applyFont="1" applyBorder="1">
      <alignment vertical="center"/>
    </xf>
    <xf numFmtId="0" fontId="17" fillId="0" borderId="0" xfId="0" applyFont="1" applyFill="1">
      <alignment vertical="center"/>
    </xf>
    <xf numFmtId="0" fontId="15" fillId="0" borderId="26" xfId="0" applyNumberFormat="1" applyFont="1" applyFill="1" applyBorder="1" applyAlignment="1">
      <alignment horizontal="center" vertical="center" shrinkToFit="1"/>
    </xf>
    <xf numFmtId="0" fontId="17" fillId="0" borderId="0" xfId="0" applyFont="1">
      <alignment vertical="center"/>
    </xf>
    <xf numFmtId="0" fontId="0" fillId="3" borderId="0" xfId="0" applyFill="1">
      <alignment vertical="center"/>
    </xf>
    <xf numFmtId="0" fontId="15" fillId="0" borderId="29" xfId="0" applyNumberFormat="1" applyFont="1" applyFill="1" applyBorder="1" applyAlignment="1">
      <alignment horizontal="center" vertical="center" wrapText="1" shrinkToFit="1"/>
    </xf>
    <xf numFmtId="0" fontId="18" fillId="0" borderId="0" xfId="0" applyNumberFormat="1" applyFont="1" applyAlignment="1">
      <alignment horizontal="center" vertical="center"/>
    </xf>
    <xf numFmtId="176" fontId="15" fillId="0" borderId="22" xfId="2" applyNumberFormat="1" applyFont="1" applyFill="1" applyBorder="1" applyAlignment="1">
      <alignment horizontal="center" vertical="center" shrinkToFit="1"/>
    </xf>
    <xf numFmtId="0" fontId="17" fillId="10" borderId="0" xfId="0" applyFont="1" applyFill="1">
      <alignment vertical="center"/>
    </xf>
    <xf numFmtId="0" fontId="19" fillId="0" borderId="32" xfId="0" applyFont="1" applyBorder="1">
      <alignment vertical="center"/>
    </xf>
    <xf numFmtId="0" fontId="20" fillId="3" borderId="33" xfId="0" applyFont="1" applyFill="1" applyBorder="1" applyAlignment="1">
      <alignment horizontal="center" vertical="center" shrinkToFit="1"/>
    </xf>
    <xf numFmtId="0" fontId="20" fillId="3" borderId="34" xfId="0" applyFont="1" applyFill="1" applyBorder="1" applyAlignment="1">
      <alignment horizontal="center" vertical="center" shrinkToFit="1"/>
    </xf>
    <xf numFmtId="0" fontId="10" fillId="3" borderId="35" xfId="0" applyFont="1" applyFill="1" applyBorder="1" applyAlignment="1">
      <alignment horizontal="center" vertical="center" shrinkToFit="1"/>
    </xf>
    <xf numFmtId="37" fontId="13" fillId="3" borderId="36" xfId="0" applyNumberFormat="1" applyFont="1" applyFill="1" applyBorder="1" applyAlignment="1">
      <alignment horizontal="center" vertical="center" shrinkToFit="1"/>
    </xf>
    <xf numFmtId="37" fontId="13" fillId="3" borderId="37" xfId="0" applyNumberFormat="1" applyFont="1" applyFill="1" applyBorder="1" applyAlignment="1">
      <alignment horizontal="center" vertical="center" shrinkToFit="1"/>
    </xf>
    <xf numFmtId="37" fontId="13" fillId="3" borderId="35" xfId="0" applyNumberFormat="1" applyFont="1" applyFill="1" applyBorder="1" applyAlignment="1">
      <alignment horizontal="center" vertical="center" shrinkToFit="1"/>
    </xf>
    <xf numFmtId="37" fontId="13" fillId="3" borderId="13" xfId="0" applyNumberFormat="1" applyFont="1" applyFill="1" applyBorder="1" applyAlignment="1">
      <alignment horizontal="center" vertical="center" shrinkToFit="1"/>
    </xf>
    <xf numFmtId="37" fontId="13" fillId="3" borderId="15" xfId="0" applyNumberFormat="1" applyFont="1" applyFill="1" applyBorder="1" applyAlignment="1">
      <alignment horizontal="center" vertical="center" shrinkToFit="1"/>
    </xf>
    <xf numFmtId="37" fontId="13" fillId="3" borderId="17" xfId="0" applyNumberFormat="1" applyFont="1" applyFill="1" applyBorder="1" applyAlignment="1">
      <alignment horizontal="center" vertical="center" shrinkToFit="1"/>
    </xf>
    <xf numFmtId="0" fontId="21" fillId="3" borderId="38" xfId="0" applyFont="1" applyFill="1" applyBorder="1">
      <alignment vertical="center"/>
    </xf>
    <xf numFmtId="0" fontId="21" fillId="3" borderId="4" xfId="0" applyFont="1" applyFill="1" applyBorder="1">
      <alignment vertical="center"/>
    </xf>
    <xf numFmtId="0" fontId="22" fillId="11" borderId="39" xfId="0" applyFont="1" applyFill="1" applyBorder="1" applyAlignment="1">
      <alignment horizontal="center" vertical="center"/>
    </xf>
    <xf numFmtId="0" fontId="22" fillId="11" borderId="40" xfId="0" applyFont="1" applyFill="1" applyBorder="1" applyAlignment="1">
      <alignment horizontal="center" vertical="center"/>
    </xf>
    <xf numFmtId="0" fontId="22" fillId="11" borderId="41" xfId="0" applyFont="1" applyFill="1" applyBorder="1" applyAlignment="1">
      <alignment horizontal="center" vertical="center"/>
    </xf>
    <xf numFmtId="37" fontId="22" fillId="11" borderId="42" xfId="0" applyNumberFormat="1" applyFont="1" applyFill="1" applyBorder="1" applyAlignment="1">
      <alignment horizontal="center" vertical="center"/>
    </xf>
    <xf numFmtId="37" fontId="22" fillId="11" borderId="43" xfId="0" applyNumberFormat="1" applyFont="1" applyFill="1" applyBorder="1" applyAlignment="1">
      <alignment horizontal="center" vertical="center"/>
    </xf>
    <xf numFmtId="37" fontId="22" fillId="11" borderId="41" xfId="0" applyNumberFormat="1" applyFont="1" applyFill="1" applyBorder="1" applyAlignment="1">
      <alignment horizontal="center" vertical="center"/>
    </xf>
    <xf numFmtId="37" fontId="22" fillId="11" borderId="44" xfId="0" applyNumberFormat="1" applyFont="1" applyFill="1" applyBorder="1" applyAlignment="1">
      <alignment horizontal="center" vertical="center"/>
    </xf>
    <xf numFmtId="178" fontId="22" fillId="11" borderId="45" xfId="0" applyNumberFormat="1" applyFont="1" applyFill="1" applyBorder="1" applyAlignment="1">
      <alignment horizontal="center" vertical="center"/>
    </xf>
    <xf numFmtId="178" fontId="22" fillId="11" borderId="46" xfId="0" applyNumberFormat="1" applyFont="1" applyFill="1" applyBorder="1" applyAlignment="1">
      <alignment horizontal="center" vertical="center"/>
    </xf>
    <xf numFmtId="41" fontId="22" fillId="11" borderId="46" xfId="1" applyNumberFormat="1" applyFont="1" applyFill="1" applyBorder="1" applyAlignment="1">
      <alignment horizontal="center" vertical="center"/>
    </xf>
    <xf numFmtId="41" fontId="22" fillId="11" borderId="47" xfId="1" applyNumberFormat="1" applyFont="1" applyFill="1" applyBorder="1" applyAlignment="1">
      <alignment horizontal="center" vertical="center"/>
    </xf>
    <xf numFmtId="0" fontId="22" fillId="11" borderId="48" xfId="0" applyFont="1" applyFill="1" applyBorder="1">
      <alignment vertical="center"/>
    </xf>
    <xf numFmtId="0" fontId="23" fillId="3" borderId="48" xfId="0" applyFont="1" applyFill="1" applyBorder="1">
      <alignment vertical="center"/>
    </xf>
    <xf numFmtId="14" fontId="0" fillId="0" borderId="0" xfId="0" applyNumberFormat="1" applyAlignment="1">
      <alignment horizontal="center" vertical="center"/>
    </xf>
    <xf numFmtId="0" fontId="9" fillId="0" borderId="0" xfId="0" applyFont="1">
      <alignment vertical="center"/>
    </xf>
    <xf numFmtId="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5" fillId="0" borderId="30" xfId="0" applyFont="1" applyFill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4" fillId="0" borderId="49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shrinkToFit="1"/>
    </xf>
    <xf numFmtId="0" fontId="24" fillId="0" borderId="0" xfId="0" applyFont="1" applyBorder="1" applyAlignment="1">
      <alignment horizontal="center" vertical="center"/>
    </xf>
    <xf numFmtId="0" fontId="26" fillId="0" borderId="30" xfId="0" applyFont="1" applyFill="1" applyBorder="1" applyAlignment="1">
      <alignment horizontal="center" vertical="center"/>
    </xf>
    <xf numFmtId="0" fontId="26" fillId="0" borderId="0" xfId="0" applyFont="1" applyBorder="1">
      <alignment vertical="center"/>
    </xf>
    <xf numFmtId="0" fontId="15" fillId="0" borderId="0" xfId="0" applyFont="1" applyFill="1" applyBorder="1" applyAlignment="1">
      <alignment horizontal="center" vertical="center" wrapText="1" shrinkToFit="1"/>
    </xf>
  </cellXfs>
  <cellStyles count="4">
    <cellStyle name="쉼표 [0] 2" xfId="2" xr:uid="{62643034-3EB4-4D67-A1B1-1325E7E9910D}"/>
    <cellStyle name="쉼표 [0] 2 2 2 2 2 2" xfId="3" xr:uid="{AA653403-CC13-4685-8169-42E2ACA0F2E2}"/>
    <cellStyle name="통화 [0]" xfId="1" builtinId="7"/>
    <cellStyle name="표준" xfId="0" builtinId="0"/>
  </cellStyles>
  <dxfs count="23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51652;&#54665;&#50756;&#47308;&#45236;&#50669;/fowi_backup/complete_backup/&#50696;&#44228;&#50557;&#54788;&#54889;-sql&#51089;&#50629;&#50756;&#47308;/11.%20&#48537;&#51076;.%20&#44397;&#47549;&#45824;&#50868;&#49328;&#52824;&#50976;&#51032;&#49714;%20&#50696;&#44228;&#50557;&#54788;&#54889;&#54364;_201119-&#54364;&#51456;&#54868;&#50756;&#4730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방법 및 유의사항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1. 시설운영 실적 총괄"/>
      <sheetName val="2. 하반기 이용취소 현황"/>
      <sheetName val="내부통계자료"/>
    </sheetNames>
    <sheetDataSet>
      <sheetData sheetId="0"/>
      <sheetData sheetId="1">
        <row r="5">
          <cell r="J5" t="str">
            <v>일반고객</v>
          </cell>
        </row>
        <row r="6">
          <cell r="J6" t="str">
            <v>일반고객</v>
          </cell>
        </row>
        <row r="400">
          <cell r="A400" t="str">
            <v>1월</v>
          </cell>
          <cell r="B400" t="str">
            <v>01</v>
          </cell>
          <cell r="E400" t="str">
            <v>숲체험교육사업</v>
          </cell>
          <cell r="F400" t="str">
            <v>CD_00000000000000112</v>
          </cell>
          <cell r="G400" t="str">
            <v>산림교육</v>
          </cell>
          <cell r="H400" t="str">
            <v>CD_00000000000000106</v>
          </cell>
          <cell r="I400" t="str">
            <v>시설 외(대면)</v>
          </cell>
          <cell r="J400" t="str">
            <v>CD_00000000000000251</v>
          </cell>
          <cell r="K400" t="str">
            <v>개인</v>
          </cell>
          <cell r="L400" t="str">
            <v>CD_00000000000000181</v>
          </cell>
          <cell r="M400" t="str">
            <v>청소년(일반)</v>
          </cell>
          <cell r="N400" t="str">
            <v>CD_00000000000000134</v>
          </cell>
          <cell r="O400" t="str">
            <v>초등</v>
          </cell>
          <cell r="P400" t="str">
            <v>CD_00000000000000135</v>
          </cell>
          <cell r="Q400" t="str">
            <v>O</v>
          </cell>
          <cell r="R400" t="str">
            <v>CD_00000000000000130</v>
          </cell>
          <cell r="S400" t="str">
            <v>당일</v>
          </cell>
          <cell r="T400">
            <v>0</v>
          </cell>
        </row>
        <row r="401">
          <cell r="A401" t="str">
            <v>2월</v>
          </cell>
          <cell r="B401" t="str">
            <v>02</v>
          </cell>
          <cell r="E401" t="str">
            <v>이용권지원사업</v>
          </cell>
          <cell r="F401" t="str">
            <v>CD_00000000000000113</v>
          </cell>
          <cell r="G401" t="str">
            <v>산림치유</v>
          </cell>
          <cell r="H401" t="str">
            <v>CD_00000000000000109</v>
          </cell>
          <cell r="I401" t="str">
            <v>시설 외(비대면)</v>
          </cell>
          <cell r="J401" t="str">
            <v>CD_00000000000000252</v>
          </cell>
          <cell r="K401" t="str">
            <v>단체</v>
          </cell>
          <cell r="L401" t="str">
            <v>CD_00000000000000182</v>
          </cell>
          <cell r="M401" t="str">
            <v>청소년</v>
          </cell>
          <cell r="N401" t="str">
            <v>CD_00000000000000134</v>
          </cell>
          <cell r="O401" t="str">
            <v>중등</v>
          </cell>
          <cell r="P401" t="str">
            <v>CD_00000000000000136</v>
          </cell>
          <cell r="Q401" t="str">
            <v>X</v>
          </cell>
          <cell r="R401" t="str">
            <v>CD_00000000000000131</v>
          </cell>
          <cell r="S401" t="str">
            <v>1박 2일</v>
          </cell>
          <cell r="T401">
            <v>1</v>
          </cell>
        </row>
        <row r="402">
          <cell r="A402" t="str">
            <v>3월</v>
          </cell>
          <cell r="B402" t="str">
            <v>03</v>
          </cell>
          <cell r="E402" t="str">
            <v>MOU연계사업</v>
          </cell>
          <cell r="F402" t="str">
            <v>CD_00000000000000114</v>
          </cell>
          <cell r="G402" t="str">
            <v>산림레포츠</v>
          </cell>
          <cell r="H402" t="str">
            <v>CD_00000000000000107</v>
          </cell>
          <cell r="I402" t="str">
            <v>시설 내(대면)</v>
          </cell>
          <cell r="J402" t="str">
            <v>CD_00000000000000253</v>
          </cell>
          <cell r="K402" t="str">
            <v>기타</v>
          </cell>
          <cell r="L402" t="str">
            <v>CD_00000000000000183</v>
          </cell>
          <cell r="M402" t="str">
            <v>청소년(학교)</v>
          </cell>
          <cell r="N402" t="str">
            <v>CD_00000000000000141</v>
          </cell>
          <cell r="O402" t="str">
            <v>고등</v>
          </cell>
          <cell r="P402" t="str">
            <v>CD_00000000000000137</v>
          </cell>
          <cell r="Q402" t="str">
            <v>기타</v>
          </cell>
          <cell r="R402" t="str">
            <v>CD_00000000000000132</v>
          </cell>
          <cell r="S402" t="str">
            <v>2박 3일</v>
          </cell>
          <cell r="T402">
            <v>2</v>
          </cell>
        </row>
        <row r="403">
          <cell r="A403" t="str">
            <v>4월</v>
          </cell>
          <cell r="B403" t="str">
            <v>04</v>
          </cell>
          <cell r="E403" t="str">
            <v>정부 연계사업</v>
          </cell>
          <cell r="F403" t="str">
            <v>CD_00000000000000115</v>
          </cell>
          <cell r="G403" t="str">
            <v>산림유아</v>
          </cell>
          <cell r="H403" t="str">
            <v>CD_00000000000000108</v>
          </cell>
          <cell r="I403" t="str">
            <v>시설 내(비대면)</v>
          </cell>
          <cell r="J403" t="str">
            <v>CD_00000000000000254</v>
          </cell>
          <cell r="M403" t="str">
            <v>노인(만65세이상)</v>
          </cell>
          <cell r="N403" t="str">
            <v>CD_00000000000000148</v>
          </cell>
          <cell r="O403" t="str">
            <v>보호관찰청소년</v>
          </cell>
          <cell r="P403" t="str">
            <v>CD_00000000000000138</v>
          </cell>
          <cell r="S403" t="str">
            <v>3박 4일</v>
          </cell>
          <cell r="T403">
            <v>3</v>
          </cell>
        </row>
        <row r="404">
          <cell r="A404" t="str">
            <v>5월</v>
          </cell>
          <cell r="B404" t="str">
            <v>05</v>
          </cell>
          <cell r="E404" t="str">
            <v>일반고객</v>
          </cell>
          <cell r="F404" t="str">
            <v>CD_00000000000000116</v>
          </cell>
          <cell r="G404" t="str">
            <v>산림태교</v>
          </cell>
          <cell r="H404" t="str">
            <v>CD_00000000000000110</v>
          </cell>
          <cell r="M404" t="str">
            <v>장애인</v>
          </cell>
          <cell r="N404" t="str">
            <v>CD_00000000000000151</v>
          </cell>
          <cell r="O404" t="str">
            <v>방과후 학교</v>
          </cell>
          <cell r="P404" t="str">
            <v>CD_00000000000000139</v>
          </cell>
          <cell r="S404" t="str">
            <v>4박 5일</v>
          </cell>
          <cell r="T404">
            <v>4</v>
          </cell>
        </row>
        <row r="405">
          <cell r="A405" t="str">
            <v>6월</v>
          </cell>
          <cell r="B405" t="str">
            <v>06</v>
          </cell>
          <cell r="E405" t="str">
            <v>기타</v>
          </cell>
          <cell r="F405" t="str">
            <v>CD_00000000000000117</v>
          </cell>
          <cell r="G405" t="str">
            <v>기타</v>
          </cell>
          <cell r="H405" t="str">
            <v>CD_00000000000000225</v>
          </cell>
          <cell r="M405" t="str">
            <v>저소득층</v>
          </cell>
          <cell r="N405" t="str">
            <v>CD_00000000000000153</v>
          </cell>
          <cell r="O405" t="str">
            <v>자유학기제</v>
          </cell>
          <cell r="P405" t="str">
            <v>CD_00000000000000140</v>
          </cell>
          <cell r="S405" t="str">
            <v>5박 6일</v>
          </cell>
          <cell r="T405">
            <v>5</v>
          </cell>
        </row>
        <row r="406">
          <cell r="A406" t="str">
            <v>7월</v>
          </cell>
          <cell r="B406" t="str">
            <v>07</v>
          </cell>
          <cell r="E406" t="str">
            <v>무료고객</v>
          </cell>
          <cell r="F406" t="str">
            <v>CD_00000000000000239</v>
          </cell>
          <cell r="M406" t="str">
            <v>관심가정</v>
          </cell>
          <cell r="N406" t="str">
            <v>CD_00000000000000156</v>
          </cell>
          <cell r="O406" t="str">
            <v>기타</v>
          </cell>
          <cell r="P406" t="str">
            <v>CD_00000000000000240</v>
          </cell>
          <cell r="S406" t="str">
            <v>6박 7일</v>
          </cell>
          <cell r="T406">
            <v>6</v>
          </cell>
        </row>
        <row r="407">
          <cell r="A407" t="str">
            <v>8월</v>
          </cell>
          <cell r="B407" t="str">
            <v>08</v>
          </cell>
          <cell r="M407" t="str">
            <v>건강이상고객</v>
          </cell>
          <cell r="N407" t="str">
            <v>CD_00000000000000162</v>
          </cell>
          <cell r="S407" t="str">
            <v>7박 8일</v>
          </cell>
          <cell r="T407">
            <v>7</v>
          </cell>
        </row>
        <row r="408">
          <cell r="A408" t="str">
            <v>9월</v>
          </cell>
          <cell r="B408" t="str">
            <v>09</v>
          </cell>
          <cell r="M408" t="str">
            <v>일반고객</v>
          </cell>
          <cell r="N408" t="str">
            <v>CD_00000000000000169</v>
          </cell>
          <cell r="S408" t="str">
            <v>8박 9일</v>
          </cell>
          <cell r="T408">
            <v>8</v>
          </cell>
        </row>
        <row r="409">
          <cell r="A409" t="str">
            <v>10월</v>
          </cell>
          <cell r="B409" t="str">
            <v>10</v>
          </cell>
          <cell r="M409" t="str">
            <v>일반</v>
          </cell>
          <cell r="N409" t="str">
            <v>CD_00000000000000169</v>
          </cell>
          <cell r="P409" t="str">
            <v>CD_00000000000000242</v>
          </cell>
          <cell r="S409" t="str">
            <v>9박 10일</v>
          </cell>
          <cell r="T409">
            <v>9</v>
          </cell>
        </row>
        <row r="410">
          <cell r="A410" t="str">
            <v>11월</v>
          </cell>
          <cell r="B410" t="str">
            <v>11</v>
          </cell>
          <cell r="M410" t="str">
            <v>교원직무연수</v>
          </cell>
          <cell r="N410" t="str">
            <v>CD_00000000000000171</v>
          </cell>
          <cell r="O410" t="str">
            <v>장애인</v>
          </cell>
          <cell r="P410" t="str">
            <v>CD_00000000000000152</v>
          </cell>
          <cell r="S410" t="str">
            <v>10박 11일</v>
          </cell>
          <cell r="T410">
            <v>10</v>
          </cell>
        </row>
        <row r="411">
          <cell r="A411" t="str">
            <v>12월</v>
          </cell>
          <cell r="B411" t="str">
            <v>12</v>
          </cell>
          <cell r="M411" t="str">
            <v>유아</v>
          </cell>
          <cell r="N411" t="str">
            <v>CD_00000000000000173</v>
          </cell>
          <cell r="O411" t="str">
            <v>기타</v>
          </cell>
          <cell r="P411" t="str">
            <v>CD_00000000000000243</v>
          </cell>
          <cell r="S411" t="str">
            <v>11박 12일</v>
          </cell>
          <cell r="T411">
            <v>11</v>
          </cell>
        </row>
        <row r="412">
          <cell r="M412" t="str">
            <v>기타</v>
          </cell>
          <cell r="N412" t="str">
            <v>CD_00000000000000175</v>
          </cell>
          <cell r="O412" t="str">
            <v>기초생활수급자</v>
          </cell>
          <cell r="P412" t="str">
            <v>CD_00000000000000154</v>
          </cell>
          <cell r="S412" t="str">
            <v>12박 13일</v>
          </cell>
          <cell r="T412">
            <v>12</v>
          </cell>
        </row>
        <row r="413">
          <cell r="O413" t="str">
            <v>차상위계층</v>
          </cell>
          <cell r="P413" t="str">
            <v>CD_00000000000000155</v>
          </cell>
          <cell r="S413" t="str">
            <v>13박 14일</v>
          </cell>
          <cell r="T413">
            <v>13</v>
          </cell>
        </row>
        <row r="414">
          <cell r="O414" t="str">
            <v>기타</v>
          </cell>
          <cell r="P414" t="str">
            <v>CD_00000000000000244</v>
          </cell>
          <cell r="S414" t="str">
            <v>14박 15일</v>
          </cell>
          <cell r="T414">
            <v>14</v>
          </cell>
        </row>
        <row r="415">
          <cell r="O415" t="str">
            <v>한부모가정</v>
          </cell>
          <cell r="P415" t="str">
            <v>CD_00000000000000157</v>
          </cell>
          <cell r="S415" t="str">
            <v>15박 16일</v>
          </cell>
          <cell r="T415">
            <v>15</v>
          </cell>
        </row>
        <row r="416">
          <cell r="O416" t="str">
            <v>다문화가정</v>
          </cell>
          <cell r="P416" t="str">
            <v>CD_00000000000000158</v>
          </cell>
        </row>
        <row r="417">
          <cell r="O417" t="str">
            <v>소년소녀가장</v>
          </cell>
          <cell r="P417" t="str">
            <v>CD_00000000000000159</v>
          </cell>
        </row>
        <row r="418">
          <cell r="O418" t="str">
            <v>치매예방</v>
          </cell>
          <cell r="P418" t="str">
            <v>CD_00000000000000160</v>
          </cell>
        </row>
        <row r="419">
          <cell r="O419" t="str">
            <v>그외 관심가정</v>
          </cell>
          <cell r="P419" t="str">
            <v>CD_00000000000000161</v>
          </cell>
        </row>
        <row r="420">
          <cell r="O420" t="str">
            <v>기타</v>
          </cell>
          <cell r="P420" t="str">
            <v>CD_00000000000000245</v>
          </cell>
        </row>
        <row r="421">
          <cell r="O421" t="str">
            <v>암환자</v>
          </cell>
          <cell r="P421" t="str">
            <v>CD_00000000000000163</v>
          </cell>
        </row>
        <row r="422">
          <cell r="O422" t="str">
            <v>알코올중독</v>
          </cell>
          <cell r="P422" t="str">
            <v>CD_00000000000000164</v>
          </cell>
        </row>
        <row r="423">
          <cell r="O423" t="str">
            <v>인터넷/스마트폰 중독</v>
          </cell>
          <cell r="P423" t="str">
            <v>CD_00000000000000165</v>
          </cell>
        </row>
        <row r="424">
          <cell r="O424" t="str">
            <v>PTSD</v>
          </cell>
          <cell r="P424" t="str">
            <v>CD_00000000000000166</v>
          </cell>
        </row>
        <row r="425">
          <cell r="O425" t="str">
            <v>ADHD</v>
          </cell>
          <cell r="P425" t="str">
            <v>CD_00000000000000167</v>
          </cell>
        </row>
        <row r="426">
          <cell r="O426" t="str">
            <v>그외 건강이상고객</v>
          </cell>
          <cell r="P426" t="str">
            <v>CD_00000000000000168</v>
          </cell>
        </row>
        <row r="427">
          <cell r="O427" t="str">
            <v>기타</v>
          </cell>
          <cell r="P427" t="str">
            <v>CD_00000000000000246</v>
          </cell>
        </row>
        <row r="428">
          <cell r="O428" t="str">
            <v>일반고객</v>
          </cell>
          <cell r="P428" t="str">
            <v>CD_00000000000000170</v>
          </cell>
        </row>
        <row r="429">
          <cell r="O429" t="str">
            <v>일반</v>
          </cell>
          <cell r="P429" t="str">
            <v>CD_00000000000000170</v>
          </cell>
        </row>
        <row r="430">
          <cell r="O430" t="str">
            <v>기타</v>
          </cell>
          <cell r="P430" t="str">
            <v>CD_00000000000000247</v>
          </cell>
        </row>
        <row r="431">
          <cell r="O431" t="str">
            <v>교원직무연수</v>
          </cell>
          <cell r="P431" t="str">
            <v>CD_00000000000000172</v>
          </cell>
        </row>
        <row r="432">
          <cell r="O432" t="str">
            <v>기타</v>
          </cell>
          <cell r="P432" t="str">
            <v>CD_00000000000000248</v>
          </cell>
        </row>
        <row r="433">
          <cell r="O433" t="str">
            <v>유아</v>
          </cell>
          <cell r="P433" t="str">
            <v>CD_00000000000000174</v>
          </cell>
        </row>
        <row r="434">
          <cell r="O434" t="str">
            <v>기타</v>
          </cell>
          <cell r="P434" t="str">
            <v>CD_00000000000000249</v>
          </cell>
        </row>
        <row r="435">
          <cell r="P435" t="str">
            <v>CD_00000000000000176</v>
          </cell>
        </row>
        <row r="437">
          <cell r="O437" t="str">
            <v>초등</v>
          </cell>
          <cell r="P437" t="str">
            <v>CD_00000000000000142</v>
          </cell>
        </row>
        <row r="438">
          <cell r="O438" t="str">
            <v>중등</v>
          </cell>
          <cell r="P438" t="str">
            <v>CD_00000000000000143</v>
          </cell>
        </row>
        <row r="439">
          <cell r="O439" t="str">
            <v>고등</v>
          </cell>
          <cell r="P439" t="str">
            <v>CD_00000000000000144</v>
          </cell>
        </row>
        <row r="440">
          <cell r="O440" t="str">
            <v>보호관찰청소년</v>
          </cell>
          <cell r="P440" t="str">
            <v>CD_00000000000000145</v>
          </cell>
        </row>
        <row r="441">
          <cell r="O441" t="str">
            <v>방과후 학교</v>
          </cell>
          <cell r="P441" t="str">
            <v>CD_00000000000000146</v>
          </cell>
        </row>
        <row r="442">
          <cell r="O442" t="str">
            <v>자유학기제</v>
          </cell>
          <cell r="P442" t="str">
            <v>CD_00000000000000147</v>
          </cell>
        </row>
        <row r="443">
          <cell r="O443" t="str">
            <v>기타</v>
          </cell>
          <cell r="P443" t="str">
            <v>CD_00000000000000241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12339-F812-4D27-934C-F3979FDB4803}">
  <dimension ref="A1:BY37"/>
  <sheetViews>
    <sheetView tabSelected="1" zoomScale="55" zoomScaleNormal="55" workbookViewId="0">
      <selection activeCell="L10" sqref="L10"/>
    </sheetView>
  </sheetViews>
  <sheetFormatPr defaultColWidth="9" defaultRowHeight="16.5" x14ac:dyDescent="0.3"/>
  <cols>
    <col min="1" max="2" width="4.625" customWidth="1"/>
    <col min="3" max="3" width="12.25" bestFit="1" customWidth="1"/>
    <col min="4" max="4" width="6.625" customWidth="1"/>
    <col min="5" max="5" width="15.125" bestFit="1" customWidth="1"/>
    <col min="6" max="11" width="11.25" customWidth="1"/>
    <col min="12" max="12" width="25.375" style="3" bestFit="1" customWidth="1"/>
    <col min="13" max="14" width="8.625" style="3" customWidth="1"/>
    <col min="15" max="15" width="8.625" customWidth="1"/>
    <col min="16" max="16" width="10.625" customWidth="1"/>
    <col min="17" max="17" width="10.625" style="116" customWidth="1"/>
    <col min="18" max="18" width="10.625" customWidth="1"/>
    <col min="19" max="28" width="7.875" style="117" customWidth="1"/>
    <col min="29" max="29" width="9.5" style="117" customWidth="1"/>
    <col min="30" max="35" width="13.125" customWidth="1"/>
    <col min="36" max="36" width="24.875" customWidth="1"/>
    <col min="41" max="41" width="15.125" bestFit="1" customWidth="1"/>
    <col min="42" max="42" width="13" bestFit="1" customWidth="1"/>
    <col min="43" max="43" width="10.625" customWidth="1"/>
    <col min="44" max="44" width="20.625" style="3" bestFit="1" customWidth="1"/>
    <col min="45" max="45" width="20.625" bestFit="1" customWidth="1"/>
    <col min="46" max="47" width="10.625" customWidth="1"/>
  </cols>
  <sheetData>
    <row r="1" spans="1:77" ht="23.2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2"/>
    </row>
    <row r="2" spans="1:77" ht="17.25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2"/>
    </row>
    <row r="3" spans="1:77" s="27" customFormat="1" ht="18" customHeight="1" x14ac:dyDescent="0.3">
      <c r="A3" s="4" t="s">
        <v>1</v>
      </c>
      <c r="B3" s="5"/>
      <c r="C3" s="5"/>
      <c r="D3" s="6"/>
      <c r="E3" s="7" t="s">
        <v>2</v>
      </c>
      <c r="F3" s="8"/>
      <c r="G3" s="8"/>
      <c r="H3" s="8"/>
      <c r="I3" s="8"/>
      <c r="J3" s="8"/>
      <c r="K3" s="9"/>
      <c r="L3" s="10" t="s">
        <v>3</v>
      </c>
      <c r="M3" s="11" t="s">
        <v>4</v>
      </c>
      <c r="N3" s="12" t="s">
        <v>5</v>
      </c>
      <c r="O3" s="13" t="s">
        <v>6</v>
      </c>
      <c r="P3" s="14" t="s">
        <v>7</v>
      </c>
      <c r="Q3" s="15"/>
      <c r="R3" s="16" t="s">
        <v>8</v>
      </c>
      <c r="S3" s="17" t="s">
        <v>9</v>
      </c>
      <c r="T3" s="18"/>
      <c r="U3" s="19"/>
      <c r="V3" s="20" t="s">
        <v>10</v>
      </c>
      <c r="W3" s="21"/>
      <c r="X3" s="21"/>
      <c r="Y3" s="21"/>
      <c r="Z3" s="21"/>
      <c r="AA3" s="21"/>
      <c r="AB3" s="21"/>
      <c r="AC3" s="22"/>
      <c r="AD3" s="23" t="s">
        <v>11</v>
      </c>
      <c r="AE3" s="24"/>
      <c r="AF3" s="24"/>
      <c r="AG3" s="24"/>
      <c r="AH3" s="24"/>
      <c r="AI3" s="24"/>
      <c r="AJ3" s="25" t="s">
        <v>12</v>
      </c>
      <c r="AK3" s="26" t="s">
        <v>13</v>
      </c>
      <c r="AR3" s="27">
        <v>1</v>
      </c>
      <c r="AS3" s="27">
        <v>2</v>
      </c>
      <c r="AT3" s="27">
        <v>3</v>
      </c>
      <c r="AU3" s="28">
        <v>4</v>
      </c>
      <c r="AV3" s="28">
        <v>5</v>
      </c>
      <c r="AW3" s="28">
        <v>6</v>
      </c>
      <c r="AX3" s="28">
        <v>7</v>
      </c>
      <c r="AY3" s="28">
        <v>8</v>
      </c>
      <c r="AZ3" s="28">
        <v>9</v>
      </c>
      <c r="BA3" s="28">
        <v>10</v>
      </c>
      <c r="BB3" s="28">
        <v>11</v>
      </c>
      <c r="BC3" s="28">
        <v>12</v>
      </c>
      <c r="BD3" s="28">
        <v>13</v>
      </c>
      <c r="BE3" s="28">
        <v>14</v>
      </c>
      <c r="BF3" s="28">
        <v>15</v>
      </c>
      <c r="BG3" s="28">
        <v>16</v>
      </c>
      <c r="BH3" s="28">
        <v>17</v>
      </c>
      <c r="BI3" s="28">
        <v>18</v>
      </c>
      <c r="BJ3" s="28">
        <v>19</v>
      </c>
      <c r="BK3" s="28">
        <v>20</v>
      </c>
      <c r="BL3" s="28">
        <v>21</v>
      </c>
      <c r="BM3" s="28">
        <v>22</v>
      </c>
      <c r="BN3" s="28">
        <v>23</v>
      </c>
      <c r="BO3" s="28">
        <v>24</v>
      </c>
      <c r="BP3" s="28">
        <v>25</v>
      </c>
      <c r="BQ3" s="28">
        <v>26</v>
      </c>
      <c r="BR3" s="28">
        <v>27</v>
      </c>
      <c r="BS3" s="28">
        <v>28</v>
      </c>
      <c r="BT3" s="28">
        <v>29</v>
      </c>
      <c r="BU3" s="28">
        <v>30</v>
      </c>
      <c r="BV3" s="28">
        <v>31</v>
      </c>
      <c r="BW3" s="28">
        <v>32</v>
      </c>
      <c r="BX3" s="28">
        <v>33</v>
      </c>
      <c r="BY3" s="29" t="s">
        <v>14</v>
      </c>
    </row>
    <row r="4" spans="1:77" s="57" customFormat="1" ht="17.25" thickBot="1" x14ac:dyDescent="0.35">
      <c r="A4" s="30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6" t="s">
        <v>21</v>
      </c>
      <c r="H4" s="37" t="s">
        <v>22</v>
      </c>
      <c r="I4" s="38" t="s">
        <v>23</v>
      </c>
      <c r="J4" s="38" t="s">
        <v>24</v>
      </c>
      <c r="K4" s="39" t="s">
        <v>25</v>
      </c>
      <c r="L4" s="40"/>
      <c r="M4" s="41"/>
      <c r="N4" s="42"/>
      <c r="O4" s="43"/>
      <c r="P4" s="44" t="s">
        <v>26</v>
      </c>
      <c r="Q4" s="45" t="s">
        <v>27</v>
      </c>
      <c r="R4" s="46"/>
      <c r="S4" s="47" t="s">
        <v>28</v>
      </c>
      <c r="T4" s="48" t="s">
        <v>29</v>
      </c>
      <c r="U4" s="49" t="s">
        <v>30</v>
      </c>
      <c r="V4" s="50" t="s">
        <v>31</v>
      </c>
      <c r="W4" s="51" t="s">
        <v>32</v>
      </c>
      <c r="X4" s="51" t="s">
        <v>33</v>
      </c>
      <c r="Y4" s="51" t="s">
        <v>34</v>
      </c>
      <c r="Z4" s="51" t="s">
        <v>35</v>
      </c>
      <c r="AA4" s="51" t="s">
        <v>36</v>
      </c>
      <c r="AB4" s="51" t="s">
        <v>37</v>
      </c>
      <c r="AC4" s="52" t="s">
        <v>30</v>
      </c>
      <c r="AD4" s="53" t="s">
        <v>38</v>
      </c>
      <c r="AE4" s="54" t="s">
        <v>39</v>
      </c>
      <c r="AF4" s="54" t="s">
        <v>40</v>
      </c>
      <c r="AG4" s="54" t="s">
        <v>41</v>
      </c>
      <c r="AH4" s="54" t="s">
        <v>42</v>
      </c>
      <c r="AI4" s="54" t="s">
        <v>43</v>
      </c>
      <c r="AJ4" s="55"/>
      <c r="AK4" s="56"/>
      <c r="AQ4" s="57" t="s">
        <v>44</v>
      </c>
      <c r="AR4" s="57" t="s">
        <v>45</v>
      </c>
      <c r="AS4" s="57" t="s">
        <v>17</v>
      </c>
      <c r="AT4" s="57" t="s">
        <v>18</v>
      </c>
      <c r="AU4" s="57" t="s">
        <v>19</v>
      </c>
      <c r="AV4" s="57" t="s">
        <v>20</v>
      </c>
      <c r="AW4" s="57" t="s">
        <v>21</v>
      </c>
      <c r="AX4" s="57" t="s">
        <v>22</v>
      </c>
      <c r="AY4" s="57" t="s">
        <v>23</v>
      </c>
      <c r="AZ4" s="57" t="s">
        <v>24</v>
      </c>
      <c r="BA4" s="57" t="s">
        <v>25</v>
      </c>
      <c r="BB4" s="57" t="s">
        <v>46</v>
      </c>
      <c r="BC4" s="57" t="s">
        <v>4</v>
      </c>
      <c r="BD4" s="57" t="s">
        <v>47</v>
      </c>
      <c r="BE4" s="57" t="s">
        <v>48</v>
      </c>
      <c r="BF4" s="57" t="s">
        <v>26</v>
      </c>
      <c r="BG4" s="57" t="s">
        <v>49</v>
      </c>
      <c r="BH4" s="57" t="s">
        <v>28</v>
      </c>
      <c r="BI4" s="57" t="s">
        <v>29</v>
      </c>
      <c r="BJ4" s="57" t="s">
        <v>31</v>
      </c>
      <c r="BK4" s="57" t="s">
        <v>32</v>
      </c>
      <c r="BL4" s="57" t="s">
        <v>33</v>
      </c>
      <c r="BM4" s="57" t="s">
        <v>34</v>
      </c>
      <c r="BN4" s="57" t="s">
        <v>35</v>
      </c>
      <c r="BO4" s="57" t="s">
        <v>36</v>
      </c>
      <c r="BP4" s="57" t="s">
        <v>37</v>
      </c>
      <c r="BQ4" s="57" t="s">
        <v>50</v>
      </c>
      <c r="BR4" s="57" t="s">
        <v>51</v>
      </c>
      <c r="BS4" s="57" t="s">
        <v>40</v>
      </c>
      <c r="BT4" s="57" t="s">
        <v>52</v>
      </c>
      <c r="BU4" s="57" t="s">
        <v>53</v>
      </c>
      <c r="BV4" s="57" t="s">
        <v>12</v>
      </c>
      <c r="BW4" s="57" t="s">
        <v>13</v>
      </c>
      <c r="BX4" s="57" t="s">
        <v>54</v>
      </c>
      <c r="BY4" s="58">
        <v>30</v>
      </c>
    </row>
    <row r="5" spans="1:77" s="88" customFormat="1" ht="24.75" thickTop="1" x14ac:dyDescent="0.3">
      <c r="A5" s="59" t="s">
        <v>55</v>
      </c>
      <c r="B5" s="60">
        <v>1</v>
      </c>
      <c r="C5" s="61" t="s">
        <v>56</v>
      </c>
      <c r="D5" s="62"/>
      <c r="E5" s="59" t="s">
        <v>57</v>
      </c>
      <c r="F5" s="61" t="s">
        <v>58</v>
      </c>
      <c r="G5" s="63"/>
      <c r="H5" s="64" t="s">
        <v>57</v>
      </c>
      <c r="I5" s="65" t="s">
        <v>59</v>
      </c>
      <c r="J5" s="66" t="s">
        <v>59</v>
      </c>
      <c r="K5" s="67" t="s">
        <v>60</v>
      </c>
      <c r="L5" s="68" t="s">
        <v>61</v>
      </c>
      <c r="M5" s="69">
        <v>43921</v>
      </c>
      <c r="N5" s="70">
        <v>43921</v>
      </c>
      <c r="O5" s="71" t="str">
        <f t="shared" ref="O5:O6" si="0">IF(M5="","",IF(M5=N5,"당일",(N5-M5)&amp;"박 "&amp;(N5-M5+1)&amp;"일"))</f>
        <v>당일</v>
      </c>
      <c r="P5" s="72"/>
      <c r="Q5" s="73">
        <f t="shared" ref="Q5:Q6" si="1">P5*(N5-M5+1)</f>
        <v>0</v>
      </c>
      <c r="R5" s="74" t="b">
        <f t="shared" ref="R5:R6" si="2">(IF(ISNUMBER(VALUE((LEFT(O5,FIND("박",O5)-1)))),VALUE((LEFT(O5,FIND("박",O5)-1))),0)+1)*P5=Q5</f>
        <v>1</v>
      </c>
      <c r="S5" s="75"/>
      <c r="T5" s="73"/>
      <c r="U5" s="76">
        <f t="shared" ref="U5:U6" si="3">S5+T5</f>
        <v>0</v>
      </c>
      <c r="V5" s="75"/>
      <c r="W5" s="73"/>
      <c r="X5" s="73"/>
      <c r="Y5" s="73"/>
      <c r="Z5" s="73"/>
      <c r="AA5" s="73"/>
      <c r="AB5" s="73"/>
      <c r="AC5" s="76">
        <f t="shared" ref="AC5:AC6" si="4">SUM(V5:AB5)</f>
        <v>0</v>
      </c>
      <c r="AD5" s="77"/>
      <c r="AE5" s="78"/>
      <c r="AF5" s="78"/>
      <c r="AG5" s="78"/>
      <c r="AH5" s="78">
        <v>419780</v>
      </c>
      <c r="AI5" s="79">
        <f t="shared" ref="AI5:AI6" si="5">SUM(AD5:AH5)</f>
        <v>419780</v>
      </c>
      <c r="AJ5" s="80"/>
      <c r="AK5" s="80"/>
      <c r="AL5" s="81"/>
      <c r="AM5" s="81"/>
      <c r="AN5" s="81"/>
      <c r="AO5" s="81"/>
      <c r="AP5" s="81"/>
      <c r="AQ5" s="82" t="str">
        <f>IF($B5&lt;100,CONCATENATE("0",IF($B5&lt;10,CONCATENATE("0",$B5),$B5)),$B5)</f>
        <v>001</v>
      </c>
      <c r="AR5" s="83" t="str">
        <f>VLOOKUP($A5,'[1]1월'!$A$400:$B$411,2,0)</f>
        <v>03</v>
      </c>
      <c r="AS5" s="61" t="str">
        <f>IF($C5="","null",VLOOKUP($C5,$C5,1,0))</f>
        <v>고객만족팀</v>
      </c>
      <c r="AT5" s="61" t="str">
        <f>IF($D5="","null",VLOOKUP($D5,$D5,1,0))</f>
        <v>null</v>
      </c>
      <c r="AU5" s="83" t="str">
        <f>VLOOKUP($E5,'[1]1월'!$E$400:$F$406,2,0)</f>
        <v>CD_00000000000000117</v>
      </c>
      <c r="AV5" s="83" t="str">
        <f>VLOOKUP($F5,'[1]1월'!$G$400:$H$405,2,0)</f>
        <v>CD_00000000000000109</v>
      </c>
      <c r="AW5" s="84" t="e">
        <f>VLOOKUP($G5,'[1]1월'!$I$400:$J$403,2,0)</f>
        <v>#N/A</v>
      </c>
      <c r="AX5" s="83" t="str">
        <f>VLOOKUP($H5,'[1]1월'!$K$400:$L$402,2,0)</f>
        <v>CD_00000000000000183</v>
      </c>
      <c r="AY5" s="83" t="str">
        <f>VLOOKUP($I5,'[1]1월'!$M$400:$N$412,2,0)</f>
        <v>CD_00000000000000169</v>
      </c>
      <c r="AZ5" s="83" t="str">
        <f>IF(OR($I5='[1]1월'!$M$400,$I5='[1]1월'!$M$401),_xlfn.IFNA(VLOOKUP(J5,'[1]1월'!$O$400:$P$406,2,0),'[1]1월'!$P$406),IF($I5='[1]1월'!$M$402,_xlfn.IFNA(VLOOKUP($J5,'[1]1월'!$O$437:$P$443,2,0),'[1]1월'!$P$443),IF($I5='[1]1월'!$M$403,_xlfn.IFNA(VLOOKUP('[1]1월'!$J5,$O$407:$P$409,2,0),'[1]1월'!$P$409),IF($I5='[1]1월'!$M$404,_xlfn.IFNA(VLOOKUP($J5,'[1]1월'!$O$410:$P$411,2,0),'[1]1월'!$P$411), IF($I5='[1]1월'!$M$405,_xlfn.IFNA(VLOOKUP($J5,'[1]1월'!$O$412:$P$414,2,0),'[1]1월'!$P$414), IF($I5='[1]1월'!$M$406,_xlfn.IFNA(VLOOKUP($J5,'[1]1월'!$O$415:$P$420,2,0),'[1]1월'!$P$420), IF($I5='[1]1월'!$M$407,_xlfn.IFNA(VLOOKUP($J5,'[1]1월'!$O$421:$P$427,2,0),'[1]1월'!$P$427), IF(OR($I5='[1]1월'!$M$408, $I5='[1]1월'!$M$409),_xlfn.IFNA(VLOOKUP($J5,'[1]1월'!$O$428:$P$430,2,0),'[1]1월'!$P$430), IF($I5='[1]1월'!$M$410,_xlfn.IFNA(VLOOKUP($J5,'[1]1월'!$O$431:$P$432,2,0),'[1]1월'!$P$432), IF($I5='[1]1월'!$M$411,_xlfn.IFNA(VLOOKUP($J5,'[1]1월'!$O$433:$P$434,2,0),'[1]1월'!$P$434), IF($I5='[1]1월'!$M$412,'[1]1월'!$P$435, 0)))))))))))</f>
        <v>CD_00000000000000170</v>
      </c>
      <c r="BA5" s="83" t="str">
        <f>VLOOKUP($K5,'[1]1월'!$Q$400:$R$402,2,0)</f>
        <v>CD_00000000000000131</v>
      </c>
      <c r="BB5" s="85" t="str">
        <f>IF($L5="","null",VLOOKUP($L5,$L5,1,0))</f>
        <v>포이파트너스</v>
      </c>
      <c r="BC5" s="86" t="str">
        <f>TEXT($M5,"yyyy-mm-dd")</f>
        <v>2020-03-31</v>
      </c>
      <c r="BD5" s="86" t="str">
        <f>TEXT($N5,"yyyy-mm-dd")</f>
        <v>2020-03-31</v>
      </c>
      <c r="BE5" s="71">
        <f>IF($O5="","null",VLOOKUP($O5,'[1]1월'!$S$400:$T$415,2,0))</f>
        <v>0</v>
      </c>
      <c r="BF5" s="72" t="str">
        <f>IF($P5="","null",VLOOKUP($P5,$P5,1,0))</f>
        <v>null</v>
      </c>
      <c r="BG5" s="73" t="str">
        <f>IF(BF5="null","null",BF5*(BD5-BC5+1))</f>
        <v>null</v>
      </c>
      <c r="BH5" s="87" t="str">
        <f>IF($S5="","null",VLOOKUP($S5,$S5,1,0))</f>
        <v>null</v>
      </c>
      <c r="BI5" s="87" t="str">
        <f>IF($T5="","null",VLOOKUP($T5,$T5,1,0))</f>
        <v>null</v>
      </c>
      <c r="BJ5" s="87" t="str">
        <f>IF($V5="","null",VLOOKUP($V5,$V5,1,0))</f>
        <v>null</v>
      </c>
      <c r="BK5" s="87" t="str">
        <f>IF($W5="","null",VLOOKUP($W5,$W5,1,0))</f>
        <v>null</v>
      </c>
      <c r="BL5" s="87" t="str">
        <f>IF($X5="","null",VLOOKUP($X5,$X5,1,0))</f>
        <v>null</v>
      </c>
      <c r="BM5" s="87" t="str">
        <f>IF($Y5="","null",VLOOKUP($Y5,$Y5,1,0))</f>
        <v>null</v>
      </c>
      <c r="BN5" s="87" t="str">
        <f>IF($Z5="","null",VLOOKUP($Z5,$Z5,1,0))</f>
        <v>null</v>
      </c>
      <c r="BO5" s="87" t="str">
        <f>IF($AA5="","null",VLOOKUP($AA5,$AA5,1,0))</f>
        <v>null</v>
      </c>
      <c r="BP5" s="87" t="str">
        <f>IF($AB5="","null",VLOOKUP($AB5,$AB5,1,0))</f>
        <v>null</v>
      </c>
      <c r="BQ5" s="78" t="str">
        <f>IF(OR($AD5="",$AD5="-",$AD5=0),"null",VLOOKUP($AD5,$AD5,1,0))</f>
        <v>null</v>
      </c>
      <c r="BR5" s="78" t="str">
        <f>IF(OR($AE5="",$AE5="-",$AE5=0),"null",VLOOKUP($AE5,$AE5,1,0))</f>
        <v>null</v>
      </c>
      <c r="BS5" s="78" t="str">
        <f>IF(OR($AF5="",$AF5="-",$AF5=0),"null",VLOOKUP($AF5,$AF5,1,0))</f>
        <v>null</v>
      </c>
      <c r="BT5" s="78" t="str">
        <f>IF(OR($AG5="",$AG5="-",$AG5=0),"null",VLOOKUP($AG5,$AG5,1,0))</f>
        <v>null</v>
      </c>
      <c r="BU5" s="78">
        <f>IF(OR($AH5="",$AH5="-",$AH5=0),"null",VLOOKUP($AH5,$AH5,1,0))</f>
        <v>419780</v>
      </c>
      <c r="BV5" s="80" t="str">
        <f>IF($AJ5="","null",VLOOKUP($AJ5,$AJ5,1,0))</f>
        <v>null</v>
      </c>
      <c r="BW5" s="80" t="str">
        <f>IF(OR($AK5="", $AK5="운영"),"N","Y")</f>
        <v>N</v>
      </c>
      <c r="BX5" s="80" t="s">
        <v>62</v>
      </c>
      <c r="BY5" s="83" t="e">
        <f>CONCATENATE("INSERT INTO tb_kfs_rsrvt_cntrc_m(RSRVT_CNTRC_IDX, UNIT_CD, STNG_MONTH, CHRG_TEAM_NM, PINCH_NM, BSNSS_TYPE_CD", ", PCD_TYPE_CD, REMOTE_TYPE_CD, NOFPR_TYPE_CD, NOFPR_LRCLS_CD, NOFPR_SMCLS_CD, PCD_CRTFC_YN, GRP_NM, ETHRM_DT, LTHRM_DT", ", STNG_CNT, NET_NOFPR_CNT, MAN_DAY_NOFPR_CNT, M_NOFPR_CNT, F_NOFPR_CNT, NOFPR_0_CNT, NOFPR_10_CNT, NOFPR_20_CNT, NOFPR_30_CNT, NOFPR_40_CNT, NOFPR_50_CNT, NOFPR_60_CNT", ", STNG_CHARGE_SUM, FACILITY_CHARGE_SUM, PCD_CHARGE_SUM, MEAL_CHARGE_SUM, ETC_CHARGE_SUM, RSRVT_CNTRC_RMRK, CANCEL_TYPE_CD, SUBMIT_YN, INS_DTTM, INS_IDX, INS_IP) VALUES(","'","20201209-00",$BY$4,AR5,"-",AQ5,"'",",","'",$BY$4,"'",",","'",AR5,"'",",",IF(AS5="null",,"'"),AS5,IF(AS5="null",,"'"),",",IF(AT5="null",,"'"),AT5,IF(AT5="null",,"'"),",",IF(AU5="null",,"'"),AU5,IF(AU5="null",,"'"),",",IF(AV5="null",,"'"),AV5,IF(AV5="null",,"'"),",", IF(AW5="null",,"'"), AW5, IF(AW5="null",,"'"), ",",IF(AX5="null",,"'"),AX5,IF(AX5="null",,"'"),",",IF(AY5="null",,"'"),AY5,IF(AY5="null",,"'"),",",IF(AZ5="null",,"'"),AZ5,IF(AZ5="null",,"'"),",",IF(BA5="null",,"'"),BA5,IF(BA5="null",,"'"),",",IF(BB5="null",,"'"),BB5,IF(BB5="null",,"'"),",",IF(BC5="null",,"'"),BC5,IF(BC5="null",,"'"),",",IF(BD5="null",,"'"),BD5,IF(BD5="null",,"'"),",",BE5,",",BF5,",",BG5,",",BH5,",",BI5,",",BJ5,",",BK5,",",BL5,",",BM5,",",BN5,",",BO5,",",BP5,",",BQ5,",",BR5,",",BS5,",",BT5,",",BU5,",",IF(BV5="null",,"'"),BV5,IF(BV5="null",,"'"),",","'",BW5,"'",",","'",BX5,"'",",","now()",",","'","ADMIN_00000000000000","'",",","'", "127.0.0.1","'", ");")</f>
        <v>#N/A</v>
      </c>
    </row>
    <row r="6" spans="1:77" s="81" customFormat="1" ht="17.25" thickBot="1" x14ac:dyDescent="0.35">
      <c r="A6" s="59" t="s">
        <v>55</v>
      </c>
      <c r="B6" s="60">
        <v>2</v>
      </c>
      <c r="C6" s="61" t="s">
        <v>56</v>
      </c>
      <c r="D6" s="62"/>
      <c r="E6" s="59" t="s">
        <v>57</v>
      </c>
      <c r="F6" s="61" t="s">
        <v>58</v>
      </c>
      <c r="G6" s="63"/>
      <c r="H6" s="64" t="s">
        <v>57</v>
      </c>
      <c r="I6" s="65" t="s">
        <v>59</v>
      </c>
      <c r="J6" s="66" t="s">
        <v>59</v>
      </c>
      <c r="K6" s="67" t="s">
        <v>60</v>
      </c>
      <c r="L6" s="68" t="s">
        <v>63</v>
      </c>
      <c r="M6" s="69">
        <v>43921</v>
      </c>
      <c r="N6" s="70">
        <v>43921</v>
      </c>
      <c r="O6" s="71" t="str">
        <f t="shared" si="0"/>
        <v>당일</v>
      </c>
      <c r="P6" s="72"/>
      <c r="Q6" s="73">
        <f t="shared" si="1"/>
        <v>0</v>
      </c>
      <c r="R6" s="74" t="b">
        <f t="shared" si="2"/>
        <v>1</v>
      </c>
      <c r="S6" s="75"/>
      <c r="T6" s="73"/>
      <c r="U6" s="76">
        <f t="shared" si="3"/>
        <v>0</v>
      </c>
      <c r="V6" s="75"/>
      <c r="W6" s="73"/>
      <c r="X6" s="73"/>
      <c r="Y6" s="73"/>
      <c r="Z6" s="73"/>
      <c r="AA6" s="73"/>
      <c r="AB6" s="73"/>
      <c r="AC6" s="76">
        <f t="shared" si="4"/>
        <v>0</v>
      </c>
      <c r="AD6" s="77"/>
      <c r="AE6" s="78"/>
      <c r="AF6" s="78"/>
      <c r="AG6" s="78"/>
      <c r="AH6" s="78">
        <v>206300</v>
      </c>
      <c r="AI6" s="79">
        <f t="shared" si="5"/>
        <v>206300</v>
      </c>
      <c r="AJ6" s="89"/>
      <c r="AK6" s="89"/>
      <c r="AQ6" s="82" t="str">
        <f>IF($B6&lt;100,CONCATENATE("0",IF($B6&lt;10,CONCATENATE("0",$B6),$B6)),$B6)</f>
        <v>002</v>
      </c>
      <c r="AR6" s="83" t="str">
        <f>VLOOKUP($A6,'[1]1월'!$A$400:$B$411,2,0)</f>
        <v>03</v>
      </c>
      <c r="AS6" s="61" t="str">
        <f>IF($C6="","null",VLOOKUP($C6,$C6,1,0))</f>
        <v>고객만족팀</v>
      </c>
      <c r="AT6" s="61" t="str">
        <f>IF($D6="","null",VLOOKUP($D6,$D6,1,0))</f>
        <v>null</v>
      </c>
      <c r="AU6" s="83" t="str">
        <f>VLOOKUP($E6,'[1]1월'!$E$400:$F$406,2,0)</f>
        <v>CD_00000000000000117</v>
      </c>
      <c r="AV6" s="83" t="str">
        <f>VLOOKUP($F6,'[1]1월'!$G$400:$H$405,2,0)</f>
        <v>CD_00000000000000109</v>
      </c>
      <c r="AW6" s="84" t="e">
        <f>VLOOKUP($G6,'[1]1월'!$I$400:$J$403,2,0)</f>
        <v>#N/A</v>
      </c>
      <c r="AX6" s="83" t="str">
        <f>VLOOKUP($H6,'[1]1월'!$K$400:$L$402,2,0)</f>
        <v>CD_00000000000000183</v>
      </c>
      <c r="AY6" s="83" t="str">
        <f>VLOOKUP($I6,'[1]1월'!$M$400:$N$412,2,0)</f>
        <v>CD_00000000000000169</v>
      </c>
      <c r="AZ6" s="83" t="str">
        <f>IF(OR($I6='[1]1월'!$M$400,$I6='[1]1월'!$M$401),_xlfn.IFNA(VLOOKUP(J6,'[1]1월'!$O$400:$P$406,2,0),'[1]1월'!$P$406),IF($I6='[1]1월'!$M$402,_xlfn.IFNA(VLOOKUP($J6,'[1]1월'!$O$437:$P$443,2,0),'[1]1월'!$P$443),IF($I6='[1]1월'!$M$403,_xlfn.IFNA(VLOOKUP('[1]1월'!$J6,$O$407:$P$409,2,0),'[1]1월'!$P$409),IF($I6='[1]1월'!$M$404,_xlfn.IFNA(VLOOKUP($J6,'[1]1월'!$O$410:$P$411,2,0),'[1]1월'!$P$411), IF($I6='[1]1월'!$M$405,_xlfn.IFNA(VLOOKUP($J6,'[1]1월'!$O$412:$P$414,2,0),'[1]1월'!$P$414), IF($I6='[1]1월'!$M$406,_xlfn.IFNA(VLOOKUP($J6,'[1]1월'!$O$415:$P$420,2,0),'[1]1월'!$P$420), IF($I6='[1]1월'!$M$407,_xlfn.IFNA(VLOOKUP($J6,'[1]1월'!$O$421:$P$427,2,0),'[1]1월'!$P$427), IF(OR($I6='[1]1월'!$M$408, $I6='[1]1월'!$M$409),_xlfn.IFNA(VLOOKUP($J6,'[1]1월'!$O$428:$P$430,2,0),'[1]1월'!$P$430), IF($I6='[1]1월'!$M$410,_xlfn.IFNA(VLOOKUP($J6,'[1]1월'!$O$431:$P$432,2,0),'[1]1월'!$P$432), IF($I6='[1]1월'!$M$411,_xlfn.IFNA(VLOOKUP($J6,'[1]1월'!$O$433:$P$434,2,0),'[1]1월'!$P$434), IF($I6='[1]1월'!$M$412,'[1]1월'!$P$435, 0)))))))))))</f>
        <v>CD_00000000000000170</v>
      </c>
      <c r="BA6" s="83" t="str">
        <f>VLOOKUP($K6,'[1]1월'!$Q$400:$R$402,2,0)</f>
        <v>CD_00000000000000131</v>
      </c>
      <c r="BB6" s="85" t="str">
        <f>IF($L6="","null",VLOOKUP($L6,$L6,1,0))</f>
        <v>3월 가스</v>
      </c>
      <c r="BC6" s="86" t="str">
        <f>TEXT($M6,"yyyy-mm-dd")</f>
        <v>2020-03-31</v>
      </c>
      <c r="BD6" s="86" t="str">
        <f>TEXT($N6,"yyyy-mm-dd")</f>
        <v>2020-03-31</v>
      </c>
      <c r="BE6" s="71">
        <f>IF($O6="","null",VLOOKUP($O6,'[1]1월'!$S$400:$T$415,2,0))</f>
        <v>0</v>
      </c>
      <c r="BF6" s="72" t="str">
        <f>IF($P6="","null",VLOOKUP($P6,$P6,1,0))</f>
        <v>null</v>
      </c>
      <c r="BG6" s="73" t="str">
        <f>IF(BF6="null","null",BF6*(BD6-BC6+1))</f>
        <v>null</v>
      </c>
      <c r="BH6" s="87" t="str">
        <f>IF($S6="","null",VLOOKUP($S6,$S6,1,0))</f>
        <v>null</v>
      </c>
      <c r="BI6" s="87" t="str">
        <f>IF($T6="","null",VLOOKUP($T6,$T6,1,0))</f>
        <v>null</v>
      </c>
      <c r="BJ6" s="87" t="str">
        <f>IF($V6="","null",VLOOKUP($V6,$V6,1,0))</f>
        <v>null</v>
      </c>
      <c r="BK6" s="87" t="str">
        <f>IF($W6="","null",VLOOKUP($W6,$W6,1,0))</f>
        <v>null</v>
      </c>
      <c r="BL6" s="87" t="str">
        <f>IF($X6="","null",VLOOKUP($X6,$X6,1,0))</f>
        <v>null</v>
      </c>
      <c r="BM6" s="87" t="str">
        <f>IF($Y6="","null",VLOOKUP($Y6,$Y6,1,0))</f>
        <v>null</v>
      </c>
      <c r="BN6" s="87" t="str">
        <f>IF($Z6="","null",VLOOKUP($Z6,$Z6,1,0))</f>
        <v>null</v>
      </c>
      <c r="BO6" s="87" t="str">
        <f>IF($AA6="","null",VLOOKUP($AA6,$AA6,1,0))</f>
        <v>null</v>
      </c>
      <c r="BP6" s="87" t="str">
        <f>IF($AB6="","null",VLOOKUP($AB6,$AB6,1,0))</f>
        <v>null</v>
      </c>
      <c r="BQ6" s="78" t="str">
        <f>IF(OR($AD6="",$AD6="-",$AD6=0),"null",VLOOKUP($AD6,$AD6,1,0))</f>
        <v>null</v>
      </c>
      <c r="BR6" s="78" t="str">
        <f>IF(OR($AE6="",$AE6="-",$AE6=0),"null",VLOOKUP($AE6,$AE6,1,0))</f>
        <v>null</v>
      </c>
      <c r="BS6" s="78" t="str">
        <f>IF(OR($AF6="",$AF6="-",$AF6=0),"null",VLOOKUP($AF6,$AF6,1,0))</f>
        <v>null</v>
      </c>
      <c r="BT6" s="78" t="str">
        <f>IF(OR($AG6="",$AG6="-",$AG6=0),"null",VLOOKUP($AG6,$AG6,1,0))</f>
        <v>null</v>
      </c>
      <c r="BU6" s="78">
        <f>IF(OR($AH6="",$AH6="-",$AH6=0),"null",VLOOKUP($AH6,$AH6,1,0))</f>
        <v>206300</v>
      </c>
      <c r="BV6" s="80" t="str">
        <f>IF($AJ6="","null",VLOOKUP($AJ6,$AJ6,1,0))</f>
        <v>null</v>
      </c>
      <c r="BW6" s="80" t="str">
        <f>IF(OR($AK6="", $AK6="운영"),"N","Y")</f>
        <v>N</v>
      </c>
      <c r="BX6" s="80" t="s">
        <v>62</v>
      </c>
      <c r="BY6" s="83" t="e">
        <f>CONCATENATE("INSERT INTO tb_kfs_rsrvt_cntrc_m(RSRVT_CNTRC_IDX, UNIT_CD, STNG_MONTH, CHRG_TEAM_NM, PINCH_NM, BSNSS_TYPE_CD", ", PCD_TYPE_CD, REMOTE_TYPE_CD, NOFPR_TYPE_CD, NOFPR_LRCLS_CD, NOFPR_SMCLS_CD, PCD_CRTFC_YN, GRP_NM, ETHRM_DT, LTHRM_DT", ", STNG_CNT, NET_NOFPR_CNT, MAN_DAY_NOFPR_CNT, M_NOFPR_CNT, F_NOFPR_CNT, NOFPR_0_CNT, NOFPR_10_CNT, NOFPR_20_CNT, NOFPR_30_CNT, NOFPR_40_CNT, NOFPR_50_CNT, NOFPR_60_CNT", ", STNG_CHARGE_SUM, FACILITY_CHARGE_SUM, PCD_CHARGE_SUM, MEAL_CHARGE_SUM, ETC_CHARGE_SUM, RSRVT_CNTRC_RMRK, CANCEL_TYPE_CD, SUBMIT_YN, INS_DTTM, INS_IDX, INS_IP) VALUES(","'","20201209-00",$BY$4,AR6,"-",AQ6,"'",",","'",$BY$4,"'",",","'",AR6,"'",",",IF(AS6="null",,"'"),AS6,IF(AS6="null",,"'"),",",IF(AT6="null",,"'"),AT6,IF(AT6="null",,"'"),",",IF(AU6="null",,"'"),AU6,IF(AU6="null",,"'"),",",IF(AV6="null",,"'"),AV6,IF(AV6="null",,"'"),",", IF(AW6="null",,"'"), AW6, IF(AW6="null",,"'"), ",",IF(AX6="null",,"'"),AX6,IF(AX6="null",,"'"),",",IF(AY6="null",,"'"),AY6,IF(AY6="null",,"'"),",",IF(AZ6="null",,"'"),AZ6,IF(AZ6="null",,"'"),",",IF(BA6="null",,"'"),BA6,IF(BA6="null",,"'"),",",IF(BB6="null",,"'"),BB6,IF(BB6="null",,"'"),",",IF(BC6="null",,"'"),BC6,IF(BC6="null",,"'"),",",IF(BD6="null",,"'"),BD6,IF(BD6="null",,"'"),",",BE6,",",BF6,",",BG6,",",BH6,",",BI6,",",BJ6,",",BK6,",",BL6,",",BM6,",",BN6,",",BO6,",",BP6,",",BQ6,",",BR6,",",BS6,",",BT6,",",BU6,",",IF(BV6="null",,"'"),BV6,IF(BV6="null",,"'"),",","'",BW6,"'",",","'",BX6,"'",",","now()",",","'","ADMIN_00000000000000","'",",","'", "127.0.0.1","'", ");")</f>
        <v>#N/A</v>
      </c>
    </row>
    <row r="7" spans="1:77" ht="17.25" thickBot="1" x14ac:dyDescent="0.35">
      <c r="A7" s="90" t="s">
        <v>64</v>
      </c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2"/>
      <c r="P7" s="93">
        <f>SUBTOTAL(109,P5:P6)</f>
        <v>0</v>
      </c>
      <c r="Q7" s="94">
        <f>SUBTOTAL(109,Q5:Q6)</f>
        <v>0</v>
      </c>
      <c r="R7" s="95"/>
      <c r="S7" s="96">
        <f t="shared" ref="S7:AI7" si="6">SUBTOTAL(109,S5:S6)</f>
        <v>0</v>
      </c>
      <c r="T7" s="97">
        <f t="shared" si="6"/>
        <v>0</v>
      </c>
      <c r="U7" s="98">
        <f t="shared" si="6"/>
        <v>0</v>
      </c>
      <c r="V7" s="96">
        <f t="shared" si="6"/>
        <v>0</v>
      </c>
      <c r="W7" s="97">
        <f t="shared" si="6"/>
        <v>0</v>
      </c>
      <c r="X7" s="97">
        <f t="shared" si="6"/>
        <v>0</v>
      </c>
      <c r="Y7" s="97">
        <f t="shared" si="6"/>
        <v>0</v>
      </c>
      <c r="Z7" s="97">
        <f t="shared" si="6"/>
        <v>0</v>
      </c>
      <c r="AA7" s="97">
        <f t="shared" si="6"/>
        <v>0</v>
      </c>
      <c r="AB7" s="97">
        <f t="shared" si="6"/>
        <v>0</v>
      </c>
      <c r="AC7" s="98">
        <f t="shared" si="6"/>
        <v>0</v>
      </c>
      <c r="AD7" s="96">
        <f t="shared" si="6"/>
        <v>0</v>
      </c>
      <c r="AE7" s="97">
        <f t="shared" si="6"/>
        <v>0</v>
      </c>
      <c r="AF7" s="97">
        <f t="shared" si="6"/>
        <v>0</v>
      </c>
      <c r="AG7" s="97">
        <f t="shared" si="6"/>
        <v>0</v>
      </c>
      <c r="AH7" s="97">
        <f t="shared" si="6"/>
        <v>626080</v>
      </c>
      <c r="AI7" s="98">
        <f t="shared" si="6"/>
        <v>626080</v>
      </c>
      <c r="AJ7" s="99"/>
      <c r="AK7" s="100"/>
    </row>
    <row r="8" spans="1:77" ht="18" thickTop="1" thickBot="1" x14ac:dyDescent="0.35">
      <c r="A8" s="101" t="s">
        <v>65</v>
      </c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3"/>
      <c r="P8" s="104">
        <f>SUM(P5:P6)</f>
        <v>0</v>
      </c>
      <c r="Q8" s="105">
        <f>SUM(Q5:Q6)</f>
        <v>0</v>
      </c>
      <c r="R8" s="106"/>
      <c r="S8" s="104">
        <f t="shared" ref="S8:AI8" si="7">SUM(S5:S6)</f>
        <v>0</v>
      </c>
      <c r="T8" s="107">
        <f t="shared" si="7"/>
        <v>0</v>
      </c>
      <c r="U8" s="105">
        <f t="shared" si="7"/>
        <v>0</v>
      </c>
      <c r="V8" s="104">
        <f t="shared" si="7"/>
        <v>0</v>
      </c>
      <c r="W8" s="107">
        <f t="shared" si="7"/>
        <v>0</v>
      </c>
      <c r="X8" s="107">
        <f t="shared" si="7"/>
        <v>0</v>
      </c>
      <c r="Y8" s="107">
        <f t="shared" si="7"/>
        <v>0</v>
      </c>
      <c r="Z8" s="107">
        <f t="shared" si="7"/>
        <v>0</v>
      </c>
      <c r="AA8" s="107">
        <f t="shared" si="7"/>
        <v>0</v>
      </c>
      <c r="AB8" s="107">
        <f t="shared" si="7"/>
        <v>0</v>
      </c>
      <c r="AC8" s="105">
        <f t="shared" si="7"/>
        <v>0</v>
      </c>
      <c r="AD8" s="108">
        <f t="shared" si="7"/>
        <v>0</v>
      </c>
      <c r="AE8" s="109">
        <f t="shared" si="7"/>
        <v>0</v>
      </c>
      <c r="AF8" s="110">
        <f t="shared" si="7"/>
        <v>0</v>
      </c>
      <c r="AG8" s="110">
        <f t="shared" si="7"/>
        <v>0</v>
      </c>
      <c r="AH8" s="110">
        <f t="shared" si="7"/>
        <v>626080</v>
      </c>
      <c r="AI8" s="111">
        <f t="shared" si="7"/>
        <v>626080</v>
      </c>
      <c r="AJ8" s="112"/>
      <c r="AK8" s="113"/>
    </row>
    <row r="9" spans="1:77" ht="18" thickTop="1" thickBot="1" x14ac:dyDescent="0.35">
      <c r="N9" s="114"/>
      <c r="O9" s="115"/>
      <c r="AK9" s="112"/>
      <c r="AR9"/>
    </row>
    <row r="10" spans="1:77" ht="18" customHeight="1" x14ac:dyDescent="0.3">
      <c r="C10" s="118" t="s">
        <v>66</v>
      </c>
      <c r="D10" s="27"/>
      <c r="E10" s="119" t="s">
        <v>67</v>
      </c>
      <c r="F10" s="119" t="s">
        <v>68</v>
      </c>
      <c r="G10" s="120" t="s">
        <v>69</v>
      </c>
      <c r="H10" s="119" t="s">
        <v>70</v>
      </c>
      <c r="I10" s="119" t="s">
        <v>71</v>
      </c>
      <c r="J10" s="119" t="s">
        <v>72</v>
      </c>
      <c r="K10" s="119" t="s">
        <v>73</v>
      </c>
      <c r="N10" s="114"/>
      <c r="O10" s="115"/>
      <c r="AK10" s="83"/>
      <c r="AR10"/>
    </row>
    <row r="11" spans="1:77" ht="18" customHeight="1" x14ac:dyDescent="0.3">
      <c r="C11" s="118" t="s">
        <v>74</v>
      </c>
      <c r="D11" s="27"/>
      <c r="E11" s="119" t="s">
        <v>75</v>
      </c>
      <c r="F11" s="119" t="s">
        <v>76</v>
      </c>
      <c r="G11" s="120" t="s">
        <v>77</v>
      </c>
      <c r="H11" s="119" t="s">
        <v>78</v>
      </c>
      <c r="I11" s="121" t="s">
        <v>79</v>
      </c>
      <c r="J11" s="119" t="s">
        <v>80</v>
      </c>
      <c r="K11" s="119" t="s">
        <v>81</v>
      </c>
      <c r="N11" s="114"/>
      <c r="O11" s="115"/>
      <c r="AK11" s="122" t="s">
        <v>82</v>
      </c>
      <c r="AR11"/>
    </row>
    <row r="12" spans="1:77" ht="24" x14ac:dyDescent="0.3">
      <c r="C12" s="118" t="s">
        <v>83</v>
      </c>
      <c r="D12" s="27"/>
      <c r="E12" s="119" t="s">
        <v>84</v>
      </c>
      <c r="F12" s="119" t="s">
        <v>53</v>
      </c>
      <c r="G12" s="120" t="s">
        <v>85</v>
      </c>
      <c r="H12" s="119" t="s">
        <v>53</v>
      </c>
      <c r="I12" s="123" t="s">
        <v>86</v>
      </c>
      <c r="J12" s="119" t="s">
        <v>87</v>
      </c>
      <c r="K12" s="119" t="s">
        <v>53</v>
      </c>
      <c r="N12" s="114"/>
      <c r="O12" s="115"/>
      <c r="AK12" s="122" t="s">
        <v>88</v>
      </c>
      <c r="AR12"/>
    </row>
    <row r="13" spans="1:77" ht="18" customHeight="1" x14ac:dyDescent="0.3">
      <c r="C13" s="124"/>
      <c r="D13" s="27"/>
      <c r="E13" s="119" t="s">
        <v>89</v>
      </c>
      <c r="F13" s="125"/>
      <c r="G13" s="120" t="s">
        <v>90</v>
      </c>
      <c r="H13" s="125"/>
      <c r="I13" s="119" t="s">
        <v>91</v>
      </c>
      <c r="J13" s="119" t="s">
        <v>92</v>
      </c>
      <c r="K13" s="125"/>
      <c r="N13" s="114"/>
      <c r="O13" s="115"/>
      <c r="AR13"/>
    </row>
    <row r="14" spans="1:77" ht="18" customHeight="1" x14ac:dyDescent="0.3">
      <c r="C14" s="124"/>
      <c r="D14" s="27"/>
      <c r="E14" s="119" t="s">
        <v>93</v>
      </c>
      <c r="F14" s="125"/>
      <c r="G14" s="125"/>
      <c r="H14" s="125"/>
      <c r="I14" s="119" t="s">
        <v>94</v>
      </c>
      <c r="J14" s="119" t="s">
        <v>95</v>
      </c>
      <c r="K14" s="125"/>
      <c r="N14" s="114"/>
      <c r="O14" s="115"/>
      <c r="AR14"/>
    </row>
    <row r="15" spans="1:77" ht="18" customHeight="1" x14ac:dyDescent="0.3">
      <c r="C15" s="27"/>
      <c r="D15" s="27"/>
      <c r="E15" s="119" t="s">
        <v>53</v>
      </c>
      <c r="F15" s="125"/>
      <c r="G15" s="125"/>
      <c r="H15" s="125"/>
      <c r="I15" s="119" t="s">
        <v>96</v>
      </c>
      <c r="J15" s="126" t="s">
        <v>97</v>
      </c>
      <c r="K15" s="125"/>
      <c r="N15" s="114"/>
      <c r="O15" s="115"/>
      <c r="AR15"/>
    </row>
    <row r="16" spans="1:77" ht="18" customHeight="1" x14ac:dyDescent="0.3">
      <c r="C16" s="27"/>
      <c r="D16" s="27"/>
      <c r="E16" s="119" t="s">
        <v>98</v>
      </c>
      <c r="F16" s="125"/>
      <c r="G16" s="125"/>
      <c r="H16" s="125"/>
      <c r="I16" s="126" t="s">
        <v>99</v>
      </c>
      <c r="J16" s="119" t="s">
        <v>100</v>
      </c>
      <c r="K16" s="125"/>
      <c r="N16" s="114"/>
      <c r="O16" s="115"/>
      <c r="AR16"/>
    </row>
    <row r="17" spans="3:44" ht="18" customHeight="1" x14ac:dyDescent="0.3">
      <c r="C17" s="27"/>
      <c r="D17" s="27"/>
      <c r="E17" s="125"/>
      <c r="F17" s="125"/>
      <c r="G17" s="125"/>
      <c r="H17" s="125"/>
      <c r="I17" s="126" t="s">
        <v>93</v>
      </c>
      <c r="J17" s="119" t="s">
        <v>101</v>
      </c>
      <c r="K17" s="125"/>
      <c r="N17" s="114"/>
      <c r="O17" s="115"/>
      <c r="AR17"/>
    </row>
    <row r="18" spans="3:44" ht="18" customHeight="1" x14ac:dyDescent="0.3">
      <c r="C18" s="27"/>
      <c r="D18" s="27"/>
      <c r="E18" s="125"/>
      <c r="F18" s="125"/>
      <c r="G18" s="125"/>
      <c r="H18" s="125"/>
      <c r="I18" s="126" t="s">
        <v>102</v>
      </c>
      <c r="J18" s="119" t="s">
        <v>91</v>
      </c>
      <c r="K18" s="125"/>
      <c r="N18" s="114"/>
      <c r="O18" s="115"/>
      <c r="AR18"/>
    </row>
    <row r="19" spans="3:44" ht="18" customHeight="1" x14ac:dyDescent="0.3">
      <c r="C19" s="27"/>
      <c r="D19" s="27"/>
      <c r="E19" s="125"/>
      <c r="F19" s="125"/>
      <c r="G19" s="125"/>
      <c r="H19" s="125"/>
      <c r="I19" s="126" t="s">
        <v>103</v>
      </c>
      <c r="J19" s="119" t="s">
        <v>104</v>
      </c>
      <c r="K19" s="125"/>
      <c r="N19" s="114"/>
      <c r="O19" s="115"/>
      <c r="AR19"/>
    </row>
    <row r="20" spans="3:44" ht="18" customHeight="1" x14ac:dyDescent="0.3">
      <c r="C20" s="27"/>
      <c r="D20" s="27"/>
      <c r="E20" s="125"/>
      <c r="F20" s="125"/>
      <c r="G20" s="125"/>
      <c r="H20" s="125"/>
      <c r="I20" s="119" t="s">
        <v>53</v>
      </c>
      <c r="J20" s="119" t="s">
        <v>105</v>
      </c>
      <c r="K20" s="125"/>
      <c r="N20" s="114"/>
      <c r="O20" s="115"/>
      <c r="AR20"/>
    </row>
    <row r="21" spans="3:44" ht="18" customHeight="1" x14ac:dyDescent="0.3">
      <c r="C21" s="27"/>
      <c r="D21" s="27"/>
      <c r="E21" s="125"/>
      <c r="F21" s="125"/>
      <c r="G21" s="125"/>
      <c r="H21" s="125"/>
      <c r="I21" s="125"/>
      <c r="J21" s="119" t="s">
        <v>106</v>
      </c>
      <c r="K21" s="125"/>
      <c r="N21" s="114"/>
      <c r="O21" s="115"/>
      <c r="AR21"/>
    </row>
    <row r="22" spans="3:44" ht="18" customHeight="1" x14ac:dyDescent="0.3">
      <c r="C22" s="27"/>
      <c r="D22" s="27"/>
      <c r="E22" s="125"/>
      <c r="F22" s="125"/>
      <c r="G22" s="125"/>
      <c r="H22" s="125"/>
      <c r="I22" s="125"/>
      <c r="J22" s="119" t="s">
        <v>107</v>
      </c>
      <c r="K22" s="125"/>
      <c r="N22" s="114"/>
      <c r="O22" s="115"/>
      <c r="AR22"/>
    </row>
    <row r="23" spans="3:44" ht="18" customHeight="1" x14ac:dyDescent="0.3">
      <c r="C23" s="27"/>
      <c r="D23" s="27"/>
      <c r="E23" s="125"/>
      <c r="F23" s="125"/>
      <c r="G23" s="125"/>
      <c r="H23" s="125"/>
      <c r="I23" s="125"/>
      <c r="J23" s="119" t="s">
        <v>108</v>
      </c>
      <c r="K23" s="125"/>
      <c r="N23" s="114"/>
      <c r="O23" s="115"/>
      <c r="AR23"/>
    </row>
    <row r="24" spans="3:44" ht="18" customHeight="1" x14ac:dyDescent="0.3">
      <c r="C24" s="27"/>
      <c r="D24" s="27"/>
      <c r="E24" s="125"/>
      <c r="F24" s="125"/>
      <c r="G24" s="125"/>
      <c r="H24" s="125"/>
      <c r="I24" s="125"/>
      <c r="J24" s="126" t="s">
        <v>109</v>
      </c>
      <c r="K24" s="125"/>
      <c r="N24" s="114"/>
      <c r="O24" s="115"/>
      <c r="AR24"/>
    </row>
    <row r="25" spans="3:44" ht="18" customHeight="1" x14ac:dyDescent="0.3">
      <c r="C25" s="27"/>
      <c r="D25" s="27"/>
      <c r="E25" s="125"/>
      <c r="F25" s="125"/>
      <c r="G25" s="125"/>
      <c r="H25" s="125"/>
      <c r="I25" s="125"/>
      <c r="J25" s="126" t="s">
        <v>110</v>
      </c>
      <c r="K25" s="125"/>
      <c r="N25" s="114"/>
      <c r="O25" s="115"/>
      <c r="AR25"/>
    </row>
    <row r="26" spans="3:44" ht="18" customHeight="1" x14ac:dyDescent="0.3">
      <c r="C26" s="27"/>
      <c r="D26" s="27"/>
      <c r="E26" s="125"/>
      <c r="F26" s="125"/>
      <c r="G26" s="125"/>
      <c r="H26" s="125"/>
      <c r="I26" s="125"/>
      <c r="J26" s="119" t="s">
        <v>111</v>
      </c>
      <c r="K26" s="125"/>
      <c r="N26" s="114"/>
      <c r="O26" s="115"/>
      <c r="AR26"/>
    </row>
    <row r="27" spans="3:44" ht="18" customHeight="1" x14ac:dyDescent="0.3">
      <c r="C27" s="27"/>
      <c r="D27" s="27"/>
      <c r="E27" s="125"/>
      <c r="F27" s="125"/>
      <c r="G27" s="125"/>
      <c r="H27" s="125"/>
      <c r="I27" s="125"/>
      <c r="J27" s="119" t="s">
        <v>112</v>
      </c>
      <c r="K27" s="125"/>
      <c r="N27" s="114"/>
      <c r="O27" s="115"/>
      <c r="AR27"/>
    </row>
    <row r="28" spans="3:44" ht="18" customHeight="1" x14ac:dyDescent="0.3">
      <c r="C28" s="27"/>
      <c r="D28" s="27"/>
      <c r="E28" s="125"/>
      <c r="F28" s="125"/>
      <c r="G28" s="125"/>
      <c r="H28" s="125"/>
      <c r="I28" s="125"/>
      <c r="J28" s="119" t="s">
        <v>113</v>
      </c>
      <c r="K28" s="125"/>
      <c r="N28" s="114"/>
      <c r="O28" s="115"/>
      <c r="AR28"/>
    </row>
    <row r="29" spans="3:44" ht="18" customHeight="1" x14ac:dyDescent="0.3">
      <c r="C29" s="27"/>
      <c r="D29" s="27"/>
      <c r="E29" s="125"/>
      <c r="F29" s="125"/>
      <c r="G29" s="125"/>
      <c r="H29" s="125"/>
      <c r="I29" s="125"/>
      <c r="J29" s="119" t="s">
        <v>114</v>
      </c>
      <c r="K29" s="125"/>
      <c r="N29" s="114"/>
      <c r="O29" s="115"/>
      <c r="AR29"/>
    </row>
    <row r="30" spans="3:44" ht="18" customHeight="1" x14ac:dyDescent="0.3">
      <c r="C30" s="27"/>
      <c r="D30" s="27"/>
      <c r="E30" s="125"/>
      <c r="F30" s="125"/>
      <c r="G30" s="125"/>
      <c r="H30" s="125"/>
      <c r="I30" s="125"/>
      <c r="J30" s="119" t="s">
        <v>115</v>
      </c>
      <c r="K30" s="125"/>
      <c r="N30" s="114"/>
      <c r="O30" s="115"/>
      <c r="AR30"/>
    </row>
    <row r="31" spans="3:44" ht="18" customHeight="1" x14ac:dyDescent="0.3">
      <c r="C31" s="27"/>
      <c r="D31" s="27"/>
      <c r="E31" s="125"/>
      <c r="F31" s="125"/>
      <c r="G31" s="125"/>
      <c r="H31" s="125"/>
      <c r="I31" s="125"/>
      <c r="J31" s="119" t="s">
        <v>116</v>
      </c>
      <c r="K31" s="125"/>
      <c r="N31" s="114"/>
      <c r="O31" s="115"/>
      <c r="AR31"/>
    </row>
    <row r="32" spans="3:44" ht="18" customHeight="1" x14ac:dyDescent="0.3">
      <c r="C32" s="27"/>
      <c r="D32" s="27"/>
      <c r="E32" s="125"/>
      <c r="F32" s="125"/>
      <c r="G32" s="125"/>
      <c r="H32" s="125"/>
      <c r="I32" s="125"/>
      <c r="J32" s="126" t="s">
        <v>93</v>
      </c>
      <c r="K32" s="125"/>
      <c r="N32" s="114"/>
      <c r="O32" s="115"/>
      <c r="AR32"/>
    </row>
    <row r="33" spans="3:44" ht="18" customHeight="1" x14ac:dyDescent="0.3">
      <c r="C33" s="27"/>
      <c r="D33" s="27"/>
      <c r="E33" s="125"/>
      <c r="F33" s="125"/>
      <c r="G33" s="125"/>
      <c r="H33" s="125"/>
      <c r="I33" s="125"/>
      <c r="J33" s="126" t="s">
        <v>102</v>
      </c>
      <c r="K33" s="125"/>
      <c r="N33" s="114"/>
      <c r="O33" s="115"/>
      <c r="AR33"/>
    </row>
    <row r="34" spans="3:44" ht="18" customHeight="1" x14ac:dyDescent="0.3">
      <c r="C34" s="27"/>
      <c r="D34" s="27"/>
      <c r="E34" s="125"/>
      <c r="F34" s="125"/>
      <c r="G34" s="125"/>
      <c r="H34" s="125"/>
      <c r="I34" s="125"/>
      <c r="J34" s="126" t="s">
        <v>103</v>
      </c>
      <c r="K34" s="125"/>
      <c r="N34" s="114"/>
      <c r="O34" s="115"/>
      <c r="AR34"/>
    </row>
    <row r="35" spans="3:44" ht="18" customHeight="1" x14ac:dyDescent="0.3">
      <c r="C35" s="27"/>
      <c r="D35" s="27"/>
      <c r="E35" s="127"/>
      <c r="F35" s="127"/>
      <c r="G35" s="127"/>
      <c r="H35" s="127"/>
      <c r="I35" s="127"/>
      <c r="J35" s="126" t="s">
        <v>53</v>
      </c>
      <c r="K35" s="127"/>
      <c r="N35" s="114"/>
      <c r="O35" s="115"/>
      <c r="AR35"/>
    </row>
    <row r="36" spans="3:44" ht="18" customHeight="1" x14ac:dyDescent="0.3">
      <c r="C36" s="27"/>
      <c r="D36" s="27"/>
      <c r="E36" s="124"/>
      <c r="F36" s="124"/>
      <c r="G36" s="124"/>
      <c r="H36" s="128"/>
      <c r="I36" s="128"/>
      <c r="J36" s="128"/>
      <c r="K36" s="27"/>
      <c r="N36" s="114"/>
      <c r="O36" s="115"/>
      <c r="AR36"/>
    </row>
    <row r="37" spans="3:44" ht="18" customHeight="1" x14ac:dyDescent="0.3">
      <c r="C37" s="27"/>
      <c r="D37" s="27"/>
      <c r="E37" s="124"/>
      <c r="F37" s="124"/>
      <c r="G37" s="124"/>
      <c r="H37" s="128"/>
      <c r="I37" s="128"/>
      <c r="J37" s="128"/>
      <c r="K37" s="27"/>
      <c r="N37" s="114"/>
      <c r="O37" s="115"/>
      <c r="AR37"/>
    </row>
  </sheetData>
  <mergeCells count="10">
    <mergeCell ref="AK3:AK4"/>
    <mergeCell ref="A7:O7"/>
    <mergeCell ref="A8:O8"/>
    <mergeCell ref="A1:AI2"/>
    <mergeCell ref="A3:D3"/>
    <mergeCell ref="E3:K3"/>
    <mergeCell ref="P3:Q3"/>
    <mergeCell ref="S3:U3"/>
    <mergeCell ref="V3:AC3"/>
    <mergeCell ref="AD3:AI3"/>
  </mergeCells>
  <phoneticPr fontId="7" type="noConversion"/>
  <conditionalFormatting sqref="R1:R2 R38:R1048576">
    <cfRule type="containsText" dxfId="22" priority="23" operator="containsText" text="FALSE">
      <formula>NOT(ISERROR(SEARCH("FALSE",R1)))</formula>
    </cfRule>
  </conditionalFormatting>
  <conditionalFormatting sqref="R36:R37">
    <cfRule type="containsText" dxfId="21" priority="22" operator="containsText" text="FALSE">
      <formula>NOT(ISERROR(SEARCH("FALSE",R36)))</formula>
    </cfRule>
  </conditionalFormatting>
  <conditionalFormatting sqref="R7:R35">
    <cfRule type="containsText" dxfId="20" priority="21" operator="containsText" text="FALSE">
      <formula>NOT(ISERROR(SEARCH("FALSE",R7)))</formula>
    </cfRule>
  </conditionalFormatting>
  <conditionalFormatting sqref="R3:R4">
    <cfRule type="containsText" dxfId="19" priority="20" operator="containsText" text="FALSE">
      <formula>NOT(ISERROR(SEARCH("FALSE",R3)))</formula>
    </cfRule>
  </conditionalFormatting>
  <conditionalFormatting sqref="R5:R6">
    <cfRule type="containsText" dxfId="18" priority="19" operator="containsText" text="FALSE">
      <formula>NOT(ISERROR(SEARCH("FALSE",R5)))</formula>
    </cfRule>
  </conditionalFormatting>
  <conditionalFormatting sqref="C5">
    <cfRule type="containsText" dxfId="17" priority="18" operator="containsText" text="고객만족팀">
      <formula>NOT(ISERROR(SEARCH("고객만족팀",C5)))</formula>
    </cfRule>
  </conditionalFormatting>
  <conditionalFormatting sqref="C5">
    <cfRule type="containsText" dxfId="16" priority="15" operator="containsText" text="2팀">
      <formula>NOT(ISERROR(SEARCH("2팀",C5)))</formula>
    </cfRule>
    <cfRule type="containsText" dxfId="15" priority="16" operator="containsText" text="1팀">
      <formula>NOT(ISERROR(SEARCH("1팀",C5)))</formula>
    </cfRule>
    <cfRule type="containsText" dxfId="14" priority="17" operator="containsText" text="기획">
      <formula>NOT(ISERROR(SEARCH("기획",C5)))</formula>
    </cfRule>
  </conditionalFormatting>
  <conditionalFormatting sqref="E5">
    <cfRule type="containsText" dxfId="13" priority="12" operator="containsText" text="무료">
      <formula>NOT(ISERROR(SEARCH("무료",E5)))</formula>
    </cfRule>
    <cfRule type="containsText" dxfId="12" priority="13" operator="containsText" text="이용권">
      <formula>NOT(ISERROR(SEARCH("이용권",E5)))</formula>
    </cfRule>
    <cfRule type="containsText" dxfId="11" priority="14" operator="containsText" text="숲체험">
      <formula>NOT(ISERROR(SEARCH("숲체험",E5)))</formula>
    </cfRule>
  </conditionalFormatting>
  <conditionalFormatting sqref="C6">
    <cfRule type="containsText" dxfId="10" priority="11" operator="containsText" text="고객만족팀">
      <formula>NOT(ISERROR(SEARCH("고객만족팀",C6)))</formula>
    </cfRule>
  </conditionalFormatting>
  <conditionalFormatting sqref="C6">
    <cfRule type="containsText" dxfId="9" priority="8" operator="containsText" text="2팀">
      <formula>NOT(ISERROR(SEARCH("2팀",C6)))</formula>
    </cfRule>
    <cfRule type="containsText" dxfId="8" priority="9" operator="containsText" text="1팀">
      <formula>NOT(ISERROR(SEARCH("1팀",C6)))</formula>
    </cfRule>
    <cfRule type="containsText" dxfId="7" priority="10" operator="containsText" text="기획">
      <formula>NOT(ISERROR(SEARCH("기획",C6)))</formula>
    </cfRule>
  </conditionalFormatting>
  <conditionalFormatting sqref="E6">
    <cfRule type="containsText" dxfId="6" priority="5" operator="containsText" text="무료">
      <formula>NOT(ISERROR(SEARCH("무료",E6)))</formula>
    </cfRule>
    <cfRule type="containsText" dxfId="5" priority="6" operator="containsText" text="이용권">
      <formula>NOT(ISERROR(SEARCH("이용권",E6)))</formula>
    </cfRule>
    <cfRule type="containsText" dxfId="4" priority="7" operator="containsText" text="숲체험">
      <formula>NOT(ISERROR(SEARCH("숲체험",E6)))</formula>
    </cfRule>
  </conditionalFormatting>
  <conditionalFormatting sqref="AS5:AT6">
    <cfRule type="containsText" dxfId="3" priority="4" operator="containsText" text="고객만족팀">
      <formula>NOT(ISERROR(SEARCH("고객만족팀",AS5)))</formula>
    </cfRule>
  </conditionalFormatting>
  <conditionalFormatting sqref="AS5:AT6">
    <cfRule type="containsText" dxfId="2" priority="1" operator="containsText" text="2팀">
      <formula>NOT(ISERROR(SEARCH("2팀",AS5)))</formula>
    </cfRule>
    <cfRule type="containsText" dxfId="1" priority="2" operator="containsText" text="1팀">
      <formula>NOT(ISERROR(SEARCH("1팀",AS5)))</formula>
    </cfRule>
    <cfRule type="containsText" dxfId="0" priority="3" operator="containsText" text="기획">
      <formula>NOT(ISERROR(SEARCH("기획",AS5)))</formula>
    </cfRule>
  </conditionalFormatting>
  <dataValidations count="1">
    <dataValidation type="list" allowBlank="1" showInputMessage="1" showErrorMessage="1" sqref="E36:J37" xr:uid="{174F2BCF-F96B-406C-8753-CF13F3CECC2B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GB-DEV-009</dc:creator>
  <cp:lastModifiedBy>GB-DEV-009</cp:lastModifiedBy>
  <dcterms:created xsi:type="dcterms:W3CDTF">2021-03-10T02:19:50Z</dcterms:created>
  <dcterms:modified xsi:type="dcterms:W3CDTF">2021-03-10T02:20:56Z</dcterms:modified>
</cp:coreProperties>
</file>