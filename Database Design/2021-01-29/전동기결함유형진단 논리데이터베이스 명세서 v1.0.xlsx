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B-DEV-009\Desktop\"/>
    </mc:Choice>
  </mc:AlternateContent>
  <xr:revisionPtr revIDLastSave="0" documentId="13_ncr:1_{AF5571BA-D874-4532-A0F2-8808CF72EF72}" xr6:coauthVersionLast="36" xr6:coauthVersionMax="36" xr10:uidLastSave="{00000000-0000-0000-0000-000000000000}"/>
  <bookViews>
    <workbookView xWindow="0" yWindow="0" windowWidth="22260" windowHeight="9660" xr2:uid="{7713DCE5-FFD7-4D74-ADB0-D0E2DA963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9" i="1"/>
  <c r="O20" i="1"/>
  <c r="O22" i="1"/>
  <c r="O23" i="1"/>
  <c r="O24" i="1"/>
  <c r="O25" i="1"/>
  <c r="O26" i="1"/>
  <c r="O27" i="1"/>
  <c r="O28" i="1"/>
  <c r="O29" i="1"/>
  <c r="O30" i="1"/>
  <c r="O31" i="1"/>
  <c r="O32" i="1"/>
  <c r="O34" i="1"/>
  <c r="O35" i="1"/>
  <c r="O36" i="1"/>
  <c r="O37" i="1"/>
  <c r="O38" i="1"/>
  <c r="O39" i="1"/>
  <c r="H18" i="1"/>
  <c r="O18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9" i="1"/>
  <c r="H20" i="1"/>
  <c r="H21" i="1"/>
  <c r="O21" i="1" s="1"/>
  <c r="H22" i="1"/>
  <c r="H23" i="1"/>
  <c r="H24" i="1"/>
  <c r="H25" i="1"/>
  <c r="H26" i="1"/>
  <c r="H27" i="1"/>
  <c r="H28" i="1"/>
  <c r="H29" i="1"/>
  <c r="H30" i="1"/>
  <c r="H31" i="1"/>
  <c r="H32" i="1"/>
  <c r="H33" i="1"/>
  <c r="O33" i="1" s="1"/>
  <c r="H34" i="1"/>
  <c r="H35" i="1"/>
  <c r="H36" i="1"/>
  <c r="H37" i="1"/>
  <c r="H38" i="1"/>
  <c r="H39" i="1"/>
  <c r="H3" i="1" l="1"/>
  <c r="O3" i="1" s="1"/>
</calcChain>
</file>

<file path=xl/sharedStrings.xml><?xml version="1.0" encoding="utf-8"?>
<sst xmlns="http://schemas.openxmlformats.org/spreadsheetml/2006/main" count="219" uniqueCount="99">
  <si>
    <t>논리테이블명</t>
    <phoneticPr fontId="2" type="noConversion"/>
  </si>
  <si>
    <t>물리테이블명</t>
    <phoneticPr fontId="2" type="noConversion"/>
  </si>
  <si>
    <t>논리컬럼명</t>
    <phoneticPr fontId="2" type="noConversion"/>
  </si>
  <si>
    <t>물리컬럼명</t>
    <phoneticPr fontId="2" type="noConversion"/>
  </si>
  <si>
    <t>메타데이터타입</t>
    <phoneticPr fontId="2" type="noConversion"/>
  </si>
  <si>
    <t>데이터크기인자</t>
    <phoneticPr fontId="2" type="noConversion"/>
  </si>
  <si>
    <t>변환데이터타입</t>
    <phoneticPr fontId="2" type="noConversion"/>
  </si>
  <si>
    <t>NULL 허용여부</t>
    <phoneticPr fontId="2" type="noConversion"/>
  </si>
  <si>
    <t>PK여부</t>
    <phoneticPr fontId="2" type="noConversion"/>
  </si>
  <si>
    <t>FK테이블명</t>
    <phoneticPr fontId="2" type="noConversion"/>
  </si>
  <si>
    <t>FK컬럼명</t>
    <phoneticPr fontId="2" type="noConversion"/>
  </si>
  <si>
    <t>기본값</t>
    <phoneticPr fontId="2" type="noConversion"/>
  </si>
  <si>
    <t>비고</t>
    <phoneticPr fontId="2" type="noConversion"/>
  </si>
  <si>
    <t>DDL</t>
    <phoneticPr fontId="2" type="noConversion"/>
  </si>
  <si>
    <t>VARCHAR</t>
    <phoneticPr fontId="2" type="noConversion"/>
  </si>
  <si>
    <t>회사명</t>
    <phoneticPr fontId="2" type="noConversion"/>
  </si>
  <si>
    <t>우편번호</t>
    <phoneticPr fontId="2" type="noConversion"/>
  </si>
  <si>
    <t>주소</t>
    <phoneticPr fontId="2" type="noConversion"/>
  </si>
  <si>
    <t>대표전화번호</t>
    <phoneticPr fontId="2" type="noConversion"/>
  </si>
  <si>
    <t>제품 정보</t>
    <phoneticPr fontId="2" type="noConversion"/>
  </si>
  <si>
    <t>고객사 정보</t>
    <phoneticPr fontId="2" type="noConversion"/>
  </si>
  <si>
    <t>제품 모델명</t>
    <phoneticPr fontId="2" type="noConversion"/>
  </si>
  <si>
    <t>제품명</t>
    <phoneticPr fontId="2" type="noConversion"/>
  </si>
  <si>
    <t>동작전압(V)</t>
    <phoneticPr fontId="2" type="noConversion"/>
  </si>
  <si>
    <t>동작주파수(Hz)</t>
    <phoneticPr fontId="2" type="noConversion"/>
  </si>
  <si>
    <t>최대허용전류(A)</t>
    <phoneticPr fontId="2" type="noConversion"/>
  </si>
  <si>
    <t>최대소비전력(W)</t>
    <phoneticPr fontId="2" type="noConversion"/>
  </si>
  <si>
    <t>제품 공급 정보</t>
    <phoneticPr fontId="2" type="noConversion"/>
  </si>
  <si>
    <t>제품 일련번호</t>
    <phoneticPr fontId="2" type="noConversion"/>
  </si>
  <si>
    <t>납품일시</t>
    <phoneticPr fontId="2" type="noConversion"/>
  </si>
  <si>
    <t>납품단가</t>
    <phoneticPr fontId="2" type="noConversion"/>
  </si>
  <si>
    <t>측정 정보</t>
    <phoneticPr fontId="2" type="noConversion"/>
  </si>
  <si>
    <t>측정일시</t>
    <phoneticPr fontId="2" type="noConversion"/>
  </si>
  <si>
    <t>측정 주파수(Hz)</t>
    <phoneticPr fontId="2" type="noConversion"/>
  </si>
  <si>
    <t>측정시간</t>
    <phoneticPr fontId="2" type="noConversion"/>
  </si>
  <si>
    <t>파일 경로</t>
    <phoneticPr fontId="2" type="noConversion"/>
  </si>
  <si>
    <t>분석 상태</t>
    <phoneticPr fontId="2" type="noConversion"/>
  </si>
  <si>
    <t>분석 결과</t>
    <phoneticPr fontId="2" type="noConversion"/>
  </si>
  <si>
    <t>분석 알고리즘 일련번호</t>
    <phoneticPr fontId="2" type="noConversion"/>
  </si>
  <si>
    <t>결함 일련번호</t>
    <phoneticPr fontId="2" type="noConversion"/>
  </si>
  <si>
    <t>고객사 정보 일련번호</t>
    <phoneticPr fontId="2" type="noConversion"/>
  </si>
  <si>
    <t>제품 정보 일련번호</t>
    <phoneticPr fontId="2" type="noConversion"/>
  </si>
  <si>
    <t>판정값</t>
    <phoneticPr fontId="2" type="noConversion"/>
  </si>
  <si>
    <t>분석 알고리즘 정보</t>
    <phoneticPr fontId="2" type="noConversion"/>
  </si>
  <si>
    <t>제품 공급 정보 일련번호</t>
    <phoneticPr fontId="2" type="noConversion"/>
  </si>
  <si>
    <t>측정 정보 일련번호</t>
    <phoneticPr fontId="2" type="noConversion"/>
  </si>
  <si>
    <t>분석 결과 일련번호</t>
    <phoneticPr fontId="2" type="noConversion"/>
  </si>
  <si>
    <t>알고리즘명</t>
    <phoneticPr fontId="2" type="noConversion"/>
  </si>
  <si>
    <t>모델 파일 경로</t>
    <phoneticPr fontId="2" type="noConversion"/>
  </si>
  <si>
    <t>모델 파일 형식</t>
    <phoneticPr fontId="2" type="noConversion"/>
  </si>
  <si>
    <t>결함 정보</t>
    <phoneticPr fontId="2" type="noConversion"/>
  </si>
  <si>
    <t>결함명</t>
    <phoneticPr fontId="2" type="noConversion"/>
  </si>
  <si>
    <t>CHAR</t>
    <phoneticPr fontId="2" type="noConversion"/>
  </si>
  <si>
    <t>VARCHAR</t>
    <phoneticPr fontId="2" type="noConversion"/>
  </si>
  <si>
    <t>DECIMAL</t>
    <phoneticPr fontId="2" type="noConversion"/>
  </si>
  <si>
    <t>4,8</t>
    <phoneticPr fontId="2" type="noConversion"/>
  </si>
  <si>
    <t>DATETIME</t>
    <phoneticPr fontId="2" type="noConversion"/>
  </si>
  <si>
    <t>INT</t>
    <phoneticPr fontId="2" type="noConversion"/>
  </si>
  <si>
    <t>CTMMNY_INFO_M</t>
    <phoneticPr fontId="2" type="noConversion"/>
  </si>
  <si>
    <t>PRDUCT_INFO_M</t>
    <phoneticPr fontId="2" type="noConversion"/>
  </si>
  <si>
    <t>PRDUCT_SPPL_INFO_M</t>
    <phoneticPr fontId="2" type="noConversion"/>
  </si>
  <si>
    <t>MSRMT_INFO_M</t>
    <phoneticPr fontId="2" type="noConversion"/>
  </si>
  <si>
    <t>ANLSS_RSLT_M</t>
    <phoneticPr fontId="2" type="noConversion"/>
  </si>
  <si>
    <t>ANLSS_ALGRT_INFO_D</t>
    <phoneticPr fontId="2" type="noConversion"/>
  </si>
  <si>
    <t>FLW_INFO_D</t>
    <phoneticPr fontId="2" type="noConversion"/>
  </si>
  <si>
    <t>CTMMNY_INFO_CONNO</t>
    <phoneticPr fontId="2" type="noConversion"/>
  </si>
  <si>
    <t>CMPN_NM</t>
    <phoneticPr fontId="2" type="noConversion"/>
  </si>
  <si>
    <t>ZIPCD</t>
    <phoneticPr fontId="2" type="noConversion"/>
  </si>
  <si>
    <t>ADDR</t>
    <phoneticPr fontId="2" type="noConversion"/>
  </si>
  <si>
    <t>RPRSN_TLNO</t>
    <phoneticPr fontId="2" type="noConversion"/>
  </si>
  <si>
    <t>PRDUCT_INFO_CONNO</t>
    <phoneticPr fontId="2" type="noConversion"/>
  </si>
  <si>
    <t>PRDUCT_MODEL_NM</t>
    <phoneticPr fontId="2" type="noConversion"/>
  </si>
  <si>
    <t>PRDUCT_NM</t>
    <phoneticPr fontId="2" type="noConversion"/>
  </si>
  <si>
    <t>MOTION_VLTG</t>
    <phoneticPr fontId="2" type="noConversion"/>
  </si>
  <si>
    <t>MOTION_FQNC</t>
    <phoneticPr fontId="2" type="noConversion"/>
  </si>
  <si>
    <t>MXMM_PRMSO_ERCRT</t>
    <phoneticPr fontId="2" type="noConversion"/>
  </si>
  <si>
    <t>MXMM_CSPTN_PWRER</t>
    <phoneticPr fontId="2" type="noConversion"/>
  </si>
  <si>
    <t>PRDUCT_SPPL_INFO_CONNO</t>
    <phoneticPr fontId="2" type="noConversion"/>
  </si>
  <si>
    <t>DLGDS_DTM</t>
    <phoneticPr fontId="2" type="noConversion"/>
  </si>
  <si>
    <t>DLGDS_UNPRC</t>
    <phoneticPr fontId="2" type="noConversion"/>
  </si>
  <si>
    <t>ASSRN_PRD</t>
    <phoneticPr fontId="2" type="noConversion"/>
  </si>
  <si>
    <t>MSRMT_INFO_CONNO</t>
    <phoneticPr fontId="2" type="noConversion"/>
  </si>
  <si>
    <t>MSRMT_DTM</t>
    <phoneticPr fontId="2" type="noConversion"/>
  </si>
  <si>
    <t>MSRMT_FQNC</t>
    <phoneticPr fontId="2" type="noConversion"/>
  </si>
  <si>
    <t>MSRMT_TM</t>
    <phoneticPr fontId="2" type="noConversion"/>
  </si>
  <si>
    <t>FILE_CRSE</t>
    <phoneticPr fontId="2" type="noConversion"/>
  </si>
  <si>
    <t>ANLSS_STTS</t>
    <phoneticPr fontId="2" type="noConversion"/>
  </si>
  <si>
    <t>ANLSS_RSLT_CONNO</t>
    <phoneticPr fontId="2" type="noConversion"/>
  </si>
  <si>
    <t>ANLSS_ALGRT_CONNO</t>
    <phoneticPr fontId="2" type="noConversion"/>
  </si>
  <si>
    <t>FLW_CONNO</t>
    <phoneticPr fontId="2" type="noConversion"/>
  </si>
  <si>
    <t>FLW_NM</t>
    <phoneticPr fontId="2" type="noConversion"/>
  </si>
  <si>
    <t>MODEL_FILE_CRSE</t>
    <phoneticPr fontId="2" type="noConversion"/>
  </si>
  <si>
    <t>ALGRT_NM</t>
    <phoneticPr fontId="2" type="noConversion"/>
  </si>
  <si>
    <t>MODEL_FILE_FORM</t>
    <phoneticPr fontId="2" type="noConversion"/>
  </si>
  <si>
    <t>JDGMN_VAL</t>
    <phoneticPr fontId="2" type="noConversion"/>
  </si>
  <si>
    <t>PRDUCT_CONNO</t>
    <phoneticPr fontId="2" type="noConversion"/>
  </si>
  <si>
    <t>보증기간(개월)</t>
    <phoneticPr fontId="2" type="noConversion"/>
  </si>
  <si>
    <t>1,4</t>
    <phoneticPr fontId="2" type="noConversion"/>
  </si>
  <si>
    <t>대기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</si>
</sst>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2" borderId="2" xfId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3" xfId="1" applyFont="1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2">
    <cellStyle name="강조색6" xfId="1" builtinId="4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E9505-594E-46F5-981E-A1FCDAA20646}">
  <dimension ref="B2:O39"/>
  <sheetViews>
    <sheetView tabSelected="1" zoomScaleNormal="100" workbookViewId="0"/>
  </sheetViews>
  <sheetFormatPr defaultRowHeight="16.5"/>
  <cols>
    <col min="2" max="2" width="24.375" customWidth="1"/>
    <col min="3" max="3" width="22.375" bestFit="1" customWidth="1"/>
    <col min="4" max="4" width="22.75" bestFit="1" customWidth="1"/>
    <col min="5" max="5" width="28.125" bestFit="1" customWidth="1"/>
    <col min="6" max="6" width="15.125" bestFit="1" customWidth="1"/>
    <col min="7" max="7" width="16.25" customWidth="1"/>
    <col min="8" max="8" width="21.375" customWidth="1"/>
    <col min="9" max="9" width="19.25" customWidth="1"/>
    <col min="10" max="10" width="13.375" customWidth="1"/>
    <col min="11" max="11" width="22.375" bestFit="1" customWidth="1"/>
    <col min="12" max="12" width="28.125" bestFit="1" customWidth="1"/>
    <col min="13" max="13" width="18.125" customWidth="1"/>
    <col min="14" max="14" width="35.625" customWidth="1"/>
    <col min="15" max="15" width="85.375" bestFit="1" customWidth="1"/>
  </cols>
  <sheetData>
    <row r="2" spans="2:1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1" t="s">
        <v>13</v>
      </c>
    </row>
    <row r="3" spans="2:15">
      <c r="B3" s="2" t="s">
        <v>20</v>
      </c>
      <c r="C3" s="2" t="s">
        <v>58</v>
      </c>
      <c r="D3" s="2" t="s">
        <v>40</v>
      </c>
      <c r="E3" s="2" t="s">
        <v>65</v>
      </c>
      <c r="F3" s="2" t="s">
        <v>14</v>
      </c>
      <c r="G3" s="2">
        <v>20</v>
      </c>
      <c r="H3" s="2" t="str">
        <f t="shared" ref="H3:H39" si="0">_xlfn.CONCAT(IF($F3 = "CLOB", "LONGTEXT", $F3),IF(ISBLANK($G3),"",_xlfn.CONCAT("(",$G3,")")))</f>
        <v>VARCHAR(20)</v>
      </c>
      <c r="I3" s="2" t="b">
        <v>0</v>
      </c>
      <c r="J3" s="2" t="b">
        <v>1</v>
      </c>
      <c r="K3" s="2"/>
      <c r="L3" s="2"/>
      <c r="M3" s="2"/>
      <c r="N3" s="2"/>
      <c r="O3" s="2" t="str">
        <f>CONCATENATE($E3, " ", $H3, IF($J3, " PRIMARY KEY", IF($I3, "", " NOT NULL")), IF(ISBLANK($M3), "", CONCATENATE(" DEFAULT ", $M3)), " COMMENT ", """", $D3, """", ",")</f>
        <v>CTMMNY_INFO_CONNO VARCHAR(20) PRIMARY KEY COMMENT "고객사 정보 일련번호",</v>
      </c>
    </row>
    <row r="4" spans="2:15">
      <c r="B4" s="2" t="s">
        <v>20</v>
      </c>
      <c r="C4" s="2" t="s">
        <v>58</v>
      </c>
      <c r="D4" s="2" t="s">
        <v>15</v>
      </c>
      <c r="E4" s="2" t="s">
        <v>66</v>
      </c>
      <c r="F4" s="2" t="s">
        <v>14</v>
      </c>
      <c r="G4" s="2">
        <v>20</v>
      </c>
      <c r="H4" s="2" t="str">
        <f t="shared" si="0"/>
        <v>VARCHAR(20)</v>
      </c>
      <c r="I4" s="2" t="b">
        <v>0</v>
      </c>
      <c r="J4" s="2" t="b">
        <v>0</v>
      </c>
      <c r="K4" s="2"/>
      <c r="L4" s="2"/>
      <c r="M4" s="2"/>
      <c r="N4" s="2"/>
      <c r="O4" s="2" t="str">
        <f t="shared" ref="O4:O39" si="1">CONCATENATE($E4, " ", $H4, IF($J4, " PRIMARY KEY", IF($I4, "", " NOT NULL")), IF(ISBLANK($M4), "", CONCATENATE(" DEFAULT ", $M4)), " COMMENT ", """", $D4, """", ",")</f>
        <v>CMPN_NM VARCHAR(20) NOT NULL COMMENT "회사명",</v>
      </c>
    </row>
    <row r="5" spans="2:15">
      <c r="B5" s="2" t="s">
        <v>20</v>
      </c>
      <c r="C5" s="2" t="s">
        <v>58</v>
      </c>
      <c r="D5" s="2" t="s">
        <v>16</v>
      </c>
      <c r="E5" s="2" t="s">
        <v>67</v>
      </c>
      <c r="F5" s="2" t="s">
        <v>52</v>
      </c>
      <c r="G5" s="2">
        <v>6</v>
      </c>
      <c r="H5" s="2" t="str">
        <f t="shared" si="0"/>
        <v>CHAR(6)</v>
      </c>
      <c r="I5" s="2" t="b">
        <v>0</v>
      </c>
      <c r="J5" s="2" t="b">
        <v>0</v>
      </c>
      <c r="K5" s="2"/>
      <c r="L5" s="2"/>
      <c r="M5" s="2"/>
      <c r="N5" s="2"/>
      <c r="O5" s="2" t="str">
        <f t="shared" si="1"/>
        <v>ZIPCD CHAR(6) NOT NULL COMMENT "우편번호",</v>
      </c>
    </row>
    <row r="6" spans="2:15">
      <c r="B6" s="2" t="s">
        <v>20</v>
      </c>
      <c r="C6" s="2" t="s">
        <v>58</v>
      </c>
      <c r="D6" s="2" t="s">
        <v>17</v>
      </c>
      <c r="E6" s="2" t="s">
        <v>68</v>
      </c>
      <c r="F6" s="2" t="s">
        <v>53</v>
      </c>
      <c r="G6" s="2">
        <v>200</v>
      </c>
      <c r="H6" s="2" t="str">
        <f t="shared" si="0"/>
        <v>VARCHAR(200)</v>
      </c>
      <c r="I6" s="2" t="b">
        <v>0</v>
      </c>
      <c r="J6" s="2" t="b">
        <v>0</v>
      </c>
      <c r="K6" s="2"/>
      <c r="L6" s="2"/>
      <c r="M6" s="2"/>
      <c r="N6" s="2"/>
      <c r="O6" s="2" t="str">
        <f t="shared" si="1"/>
        <v>ADDR VARCHAR(200) NOT NULL COMMENT "주소",</v>
      </c>
    </row>
    <row r="7" spans="2:15">
      <c r="B7" s="2" t="s">
        <v>20</v>
      </c>
      <c r="C7" s="2" t="s">
        <v>58</v>
      </c>
      <c r="D7" s="2" t="s">
        <v>18</v>
      </c>
      <c r="E7" s="2" t="s">
        <v>69</v>
      </c>
      <c r="F7" s="2" t="s">
        <v>53</v>
      </c>
      <c r="G7" s="2">
        <v>14</v>
      </c>
      <c r="H7" s="2" t="str">
        <f t="shared" si="0"/>
        <v>VARCHAR(14)</v>
      </c>
      <c r="I7" s="2" t="b">
        <v>0</v>
      </c>
      <c r="J7" s="2" t="b">
        <v>0</v>
      </c>
      <c r="K7" s="2"/>
      <c r="L7" s="2"/>
      <c r="M7" s="2"/>
      <c r="N7" s="2"/>
      <c r="O7" s="2" t="str">
        <f t="shared" si="1"/>
        <v>RPRSN_TLNO VARCHAR(14) NOT NULL COMMENT "대표전화번호",</v>
      </c>
    </row>
    <row r="8" spans="2:15">
      <c r="B8" s="4" t="s">
        <v>19</v>
      </c>
      <c r="C8" s="4" t="s">
        <v>59</v>
      </c>
      <c r="D8" s="2" t="s">
        <v>41</v>
      </c>
      <c r="E8" s="2" t="s">
        <v>70</v>
      </c>
      <c r="F8" s="2" t="s">
        <v>14</v>
      </c>
      <c r="G8" s="2">
        <v>20</v>
      </c>
      <c r="H8" s="2" t="str">
        <f t="shared" si="0"/>
        <v>VARCHAR(20)</v>
      </c>
      <c r="I8" s="2" t="b">
        <v>0</v>
      </c>
      <c r="J8" s="2" t="b">
        <v>1</v>
      </c>
      <c r="K8" s="2"/>
      <c r="L8" s="2"/>
      <c r="M8" s="2"/>
      <c r="N8" s="2"/>
      <c r="O8" s="2" t="str">
        <f t="shared" si="1"/>
        <v>PRDUCT_INFO_CONNO VARCHAR(20) PRIMARY KEY COMMENT "제품 정보 일련번호",</v>
      </c>
    </row>
    <row r="9" spans="2:15">
      <c r="B9" s="4" t="s">
        <v>19</v>
      </c>
      <c r="C9" s="4" t="s">
        <v>59</v>
      </c>
      <c r="D9" s="2" t="s">
        <v>21</v>
      </c>
      <c r="E9" s="2" t="s">
        <v>71</v>
      </c>
      <c r="F9" s="2" t="s">
        <v>14</v>
      </c>
      <c r="G9" s="2">
        <v>100</v>
      </c>
      <c r="H9" s="2" t="str">
        <f t="shared" si="0"/>
        <v>VARCHAR(100)</v>
      </c>
      <c r="I9" s="2" t="b">
        <v>0</v>
      </c>
      <c r="J9" s="2" t="b">
        <v>0</v>
      </c>
      <c r="K9" s="2"/>
      <c r="L9" s="2"/>
      <c r="M9" s="2"/>
      <c r="N9" s="2"/>
      <c r="O9" s="2" t="str">
        <f t="shared" si="1"/>
        <v>PRDUCT_MODEL_NM VARCHAR(100) NOT NULL COMMENT "제품 모델명",</v>
      </c>
    </row>
    <row r="10" spans="2:15">
      <c r="B10" s="4" t="s">
        <v>19</v>
      </c>
      <c r="C10" s="4" t="s">
        <v>59</v>
      </c>
      <c r="D10" s="2" t="s">
        <v>22</v>
      </c>
      <c r="E10" s="2" t="s">
        <v>72</v>
      </c>
      <c r="F10" s="2" t="s">
        <v>14</v>
      </c>
      <c r="G10" s="2">
        <v>200</v>
      </c>
      <c r="H10" s="2" t="str">
        <f t="shared" si="0"/>
        <v>VARCHAR(200)</v>
      </c>
      <c r="I10" s="2" t="b">
        <v>0</v>
      </c>
      <c r="J10" s="2" t="b">
        <v>0</v>
      </c>
      <c r="K10" s="2"/>
      <c r="L10" s="2"/>
      <c r="M10" s="2"/>
      <c r="N10" s="2"/>
      <c r="O10" s="2" t="str">
        <f t="shared" si="1"/>
        <v>PRDUCT_NM VARCHAR(200) NOT NULL COMMENT "제품명",</v>
      </c>
    </row>
    <row r="11" spans="2:15">
      <c r="B11" s="4" t="s">
        <v>19</v>
      </c>
      <c r="C11" s="4" t="s">
        <v>59</v>
      </c>
      <c r="D11" s="2" t="s">
        <v>23</v>
      </c>
      <c r="E11" s="2" t="s">
        <v>73</v>
      </c>
      <c r="F11" s="2" t="s">
        <v>54</v>
      </c>
      <c r="G11" s="2" t="s">
        <v>55</v>
      </c>
      <c r="H11" s="2" t="str">
        <f t="shared" si="0"/>
        <v>DECIMAL(4,8)</v>
      </c>
      <c r="I11" s="2" t="b">
        <v>0</v>
      </c>
      <c r="J11" s="2" t="b">
        <v>0</v>
      </c>
      <c r="K11" s="2"/>
      <c r="L11" s="2"/>
      <c r="M11" s="2"/>
      <c r="N11" s="2"/>
      <c r="O11" s="2" t="str">
        <f t="shared" si="1"/>
        <v>MOTION_VLTG DECIMAL(4,8) NOT NULL COMMENT "동작전압(V)",</v>
      </c>
    </row>
    <row r="12" spans="2:15">
      <c r="B12" s="4" t="s">
        <v>19</v>
      </c>
      <c r="C12" s="4" t="s">
        <v>59</v>
      </c>
      <c r="D12" s="2" t="s">
        <v>24</v>
      </c>
      <c r="E12" s="2" t="s">
        <v>74</v>
      </c>
      <c r="F12" s="2" t="s">
        <v>54</v>
      </c>
      <c r="G12" s="2" t="s">
        <v>55</v>
      </c>
      <c r="H12" s="2" t="str">
        <f t="shared" si="0"/>
        <v>DECIMAL(4,8)</v>
      </c>
      <c r="I12" s="2" t="b">
        <v>0</v>
      </c>
      <c r="J12" s="2" t="b">
        <v>0</v>
      </c>
      <c r="K12" s="2"/>
      <c r="L12" s="2"/>
      <c r="M12" s="2"/>
      <c r="N12" s="2"/>
      <c r="O12" s="2" t="str">
        <f t="shared" si="1"/>
        <v>MOTION_FQNC DECIMAL(4,8) NOT NULL COMMENT "동작주파수(Hz)",</v>
      </c>
    </row>
    <row r="13" spans="2:15">
      <c r="B13" s="4" t="s">
        <v>19</v>
      </c>
      <c r="C13" s="4" t="s">
        <v>59</v>
      </c>
      <c r="D13" s="2" t="s">
        <v>25</v>
      </c>
      <c r="E13" s="2" t="s">
        <v>75</v>
      </c>
      <c r="F13" s="2" t="s">
        <v>54</v>
      </c>
      <c r="G13" s="2" t="s">
        <v>55</v>
      </c>
      <c r="H13" s="2" t="str">
        <f t="shared" si="0"/>
        <v>DECIMAL(4,8)</v>
      </c>
      <c r="I13" s="2" t="b">
        <v>0</v>
      </c>
      <c r="J13" s="2" t="b">
        <v>0</v>
      </c>
      <c r="K13" s="2"/>
      <c r="L13" s="2"/>
      <c r="M13" s="2"/>
      <c r="N13" s="2"/>
      <c r="O13" s="2" t="str">
        <f t="shared" si="1"/>
        <v>MXMM_PRMSO_ERCRT DECIMAL(4,8) NOT NULL COMMENT "최대허용전류(A)",</v>
      </c>
    </row>
    <row r="14" spans="2:15">
      <c r="B14" s="4" t="s">
        <v>19</v>
      </c>
      <c r="C14" s="4" t="s">
        <v>59</v>
      </c>
      <c r="D14" s="2" t="s">
        <v>26</v>
      </c>
      <c r="E14" s="2" t="s">
        <v>76</v>
      </c>
      <c r="F14" s="2" t="s">
        <v>54</v>
      </c>
      <c r="G14" s="2" t="s">
        <v>55</v>
      </c>
      <c r="H14" s="2" t="str">
        <f t="shared" si="0"/>
        <v>DECIMAL(4,8)</v>
      </c>
      <c r="I14" s="2" t="b">
        <v>0</v>
      </c>
      <c r="J14" s="2" t="b">
        <v>0</v>
      </c>
      <c r="K14" s="2"/>
      <c r="L14" s="2"/>
      <c r="M14" s="2"/>
      <c r="N14" s="2"/>
      <c r="O14" s="2" t="str">
        <f t="shared" si="1"/>
        <v>MXMM_CSPTN_PWRER DECIMAL(4,8) NOT NULL COMMENT "최대소비전력(W)",</v>
      </c>
    </row>
    <row r="15" spans="2:15">
      <c r="B15" s="4" t="s">
        <v>27</v>
      </c>
      <c r="C15" s="4" t="s">
        <v>60</v>
      </c>
      <c r="D15" s="2" t="s">
        <v>44</v>
      </c>
      <c r="E15" s="2" t="s">
        <v>77</v>
      </c>
      <c r="F15" s="2" t="s">
        <v>14</v>
      </c>
      <c r="G15" s="2">
        <v>20</v>
      </c>
      <c r="H15" s="2" t="str">
        <f t="shared" si="0"/>
        <v>VARCHAR(20)</v>
      </c>
      <c r="I15" s="2" t="b">
        <v>0</v>
      </c>
      <c r="J15" s="2" t="b">
        <v>1</v>
      </c>
      <c r="K15" s="2"/>
      <c r="L15" s="2"/>
      <c r="M15" s="2"/>
      <c r="N15" s="2"/>
      <c r="O15" s="2" t="str">
        <f t="shared" si="1"/>
        <v>PRDUCT_SPPL_INFO_CONNO VARCHAR(20) PRIMARY KEY COMMENT "제품 공급 정보 일련번호",</v>
      </c>
    </row>
    <row r="16" spans="2:15">
      <c r="B16" s="4" t="s">
        <v>27</v>
      </c>
      <c r="C16" s="4" t="s">
        <v>60</v>
      </c>
      <c r="D16" s="2" t="s">
        <v>40</v>
      </c>
      <c r="E16" s="2" t="s">
        <v>65</v>
      </c>
      <c r="F16" s="2" t="s">
        <v>14</v>
      </c>
      <c r="G16" s="2">
        <v>20</v>
      </c>
      <c r="H16" s="2" t="str">
        <f t="shared" si="0"/>
        <v>VARCHAR(20)</v>
      </c>
      <c r="I16" s="2" t="b">
        <v>0</v>
      </c>
      <c r="J16" s="2" t="b">
        <v>0</v>
      </c>
      <c r="K16" s="2" t="s">
        <v>58</v>
      </c>
      <c r="L16" s="2" t="s">
        <v>65</v>
      </c>
      <c r="M16" s="2"/>
      <c r="N16" s="2"/>
      <c r="O16" s="2" t="str">
        <f t="shared" si="1"/>
        <v>CTMMNY_INFO_CONNO VARCHAR(20) NOT NULL COMMENT "고객사 정보 일련번호",</v>
      </c>
    </row>
    <row r="17" spans="2:15">
      <c r="B17" s="4" t="s">
        <v>27</v>
      </c>
      <c r="C17" s="4" t="s">
        <v>60</v>
      </c>
      <c r="D17" s="2" t="s">
        <v>41</v>
      </c>
      <c r="E17" s="2" t="s">
        <v>70</v>
      </c>
      <c r="F17" s="2" t="s">
        <v>14</v>
      </c>
      <c r="G17" s="2">
        <v>20</v>
      </c>
      <c r="H17" s="2" t="str">
        <f t="shared" si="0"/>
        <v>VARCHAR(20)</v>
      </c>
      <c r="I17" s="2" t="b">
        <v>0</v>
      </c>
      <c r="J17" s="2" t="b">
        <v>0</v>
      </c>
      <c r="K17" s="4" t="s">
        <v>59</v>
      </c>
      <c r="L17" s="2" t="s">
        <v>70</v>
      </c>
      <c r="M17" s="2"/>
      <c r="N17" s="2"/>
      <c r="O17" s="2" t="str">
        <f t="shared" si="1"/>
        <v>PRDUCT_INFO_CONNO VARCHAR(20) NOT NULL COMMENT "제품 정보 일련번호",</v>
      </c>
    </row>
    <row r="18" spans="2:15">
      <c r="B18" s="4" t="s">
        <v>27</v>
      </c>
      <c r="C18" s="4" t="s">
        <v>60</v>
      </c>
      <c r="D18" s="2" t="s">
        <v>28</v>
      </c>
      <c r="E18" s="2" t="s">
        <v>95</v>
      </c>
      <c r="F18" t="s">
        <v>14</v>
      </c>
      <c r="G18" s="2">
        <v>30</v>
      </c>
      <c r="H18" s="2" t="str">
        <f t="shared" si="0"/>
        <v>VARCHAR(30)</v>
      </c>
      <c r="I18" s="2" t="b">
        <v>0</v>
      </c>
      <c r="J18" s="2" t="b">
        <v>0</v>
      </c>
      <c r="K18" s="2"/>
      <c r="L18" s="2"/>
      <c r="M18" s="2"/>
      <c r="N18" s="2"/>
      <c r="O18" s="2" t="str">
        <f t="shared" si="1"/>
        <v>PRDUCT_CONNO VARCHAR(30) NOT NULL COMMENT "제품 일련번호",</v>
      </c>
    </row>
    <row r="19" spans="2:15">
      <c r="B19" s="4" t="s">
        <v>27</v>
      </c>
      <c r="C19" s="4" t="s">
        <v>60</v>
      </c>
      <c r="D19" s="2" t="s">
        <v>29</v>
      </c>
      <c r="E19" s="2" t="s">
        <v>78</v>
      </c>
      <c r="F19" s="2" t="s">
        <v>56</v>
      </c>
      <c r="G19" s="2">
        <v>6</v>
      </c>
      <c r="H19" s="2" t="str">
        <f t="shared" si="0"/>
        <v>DATETIME(6)</v>
      </c>
      <c r="I19" s="2" t="b">
        <v>0</v>
      </c>
      <c r="J19" s="2" t="b">
        <v>0</v>
      </c>
      <c r="K19" s="2"/>
      <c r="L19" s="2"/>
      <c r="M19" s="2"/>
      <c r="N19" s="2"/>
      <c r="O19" s="2" t="str">
        <f t="shared" si="1"/>
        <v>DLGDS_DTM DATETIME(6) NOT NULL COMMENT "납품일시",</v>
      </c>
    </row>
    <row r="20" spans="2:15">
      <c r="B20" s="4" t="s">
        <v>27</v>
      </c>
      <c r="C20" s="4" t="s">
        <v>60</v>
      </c>
      <c r="D20" s="2" t="s">
        <v>30</v>
      </c>
      <c r="E20" s="2" t="s">
        <v>79</v>
      </c>
      <c r="F20" s="2" t="s">
        <v>57</v>
      </c>
      <c r="G20" s="2">
        <v>15</v>
      </c>
      <c r="H20" s="2" t="str">
        <f t="shared" si="0"/>
        <v>INT(15)</v>
      </c>
      <c r="I20" s="2" t="b">
        <v>1</v>
      </c>
      <c r="J20" s="2" t="b">
        <v>0</v>
      </c>
      <c r="K20" s="2"/>
      <c r="L20" s="2"/>
      <c r="M20" s="2"/>
      <c r="N20" s="2"/>
      <c r="O20" s="2" t="str">
        <f t="shared" si="1"/>
        <v>DLGDS_UNPRC INT(15) COMMENT "납품단가",</v>
      </c>
    </row>
    <row r="21" spans="2:15">
      <c r="B21" s="4" t="s">
        <v>27</v>
      </c>
      <c r="C21" s="4" t="s">
        <v>60</v>
      </c>
      <c r="D21" s="2" t="s">
        <v>96</v>
      </c>
      <c r="E21" s="2" t="s">
        <v>80</v>
      </c>
      <c r="F21" t="s">
        <v>57</v>
      </c>
      <c r="G21" s="2">
        <v>15</v>
      </c>
      <c r="H21" s="2" t="str">
        <f t="shared" si="0"/>
        <v>INT(15)</v>
      </c>
      <c r="I21" s="2" t="b">
        <v>1</v>
      </c>
      <c r="J21" s="2" t="b">
        <v>0</v>
      </c>
      <c r="K21" s="2"/>
      <c r="L21" s="2"/>
      <c r="M21" s="2"/>
      <c r="N21" s="2"/>
      <c r="O21" s="2" t="str">
        <f t="shared" si="1"/>
        <v>ASSRN_PRD INT(15) COMMENT "보증기간(개월)",</v>
      </c>
    </row>
    <row r="22" spans="2:15">
      <c r="B22" s="4" t="s">
        <v>31</v>
      </c>
      <c r="C22" s="4" t="s">
        <v>61</v>
      </c>
      <c r="D22" s="2" t="s">
        <v>45</v>
      </c>
      <c r="E22" s="2" t="s">
        <v>81</v>
      </c>
      <c r="F22" s="2" t="s">
        <v>53</v>
      </c>
      <c r="G22" s="2">
        <v>20</v>
      </c>
      <c r="H22" s="2" t="str">
        <f t="shared" si="0"/>
        <v>VARCHAR(20)</v>
      </c>
      <c r="I22" s="2" t="b">
        <v>0</v>
      </c>
      <c r="J22" s="2" t="b">
        <v>1</v>
      </c>
      <c r="K22" s="2"/>
      <c r="L22" s="2"/>
      <c r="M22" s="2"/>
      <c r="N22" s="2"/>
      <c r="O22" s="2" t="str">
        <f t="shared" si="1"/>
        <v>MSRMT_INFO_CONNO VARCHAR(20) PRIMARY KEY COMMENT "측정 정보 일련번호",</v>
      </c>
    </row>
    <row r="23" spans="2:15">
      <c r="B23" s="4" t="s">
        <v>31</v>
      </c>
      <c r="C23" s="4" t="s">
        <v>61</v>
      </c>
      <c r="D23" s="2" t="s">
        <v>44</v>
      </c>
      <c r="E23" s="2" t="s">
        <v>77</v>
      </c>
      <c r="F23" s="2" t="s">
        <v>53</v>
      </c>
      <c r="G23" s="2">
        <v>20</v>
      </c>
      <c r="H23" s="2" t="str">
        <f t="shared" si="0"/>
        <v>VARCHAR(20)</v>
      </c>
      <c r="I23" s="2" t="b">
        <v>0</v>
      </c>
      <c r="J23" s="2" t="b">
        <v>0</v>
      </c>
      <c r="K23" s="4" t="s">
        <v>60</v>
      </c>
      <c r="L23" s="2" t="s">
        <v>77</v>
      </c>
      <c r="M23" s="2"/>
      <c r="N23" s="2"/>
      <c r="O23" s="2" t="str">
        <f t="shared" si="1"/>
        <v>PRDUCT_SPPL_INFO_CONNO VARCHAR(20) NOT NULL COMMENT "제품 공급 정보 일련번호",</v>
      </c>
    </row>
    <row r="24" spans="2:15">
      <c r="B24" s="4" t="s">
        <v>31</v>
      </c>
      <c r="C24" s="4" t="s">
        <v>61</v>
      </c>
      <c r="D24" s="2" t="s">
        <v>32</v>
      </c>
      <c r="E24" s="2" t="s">
        <v>82</v>
      </c>
      <c r="F24" s="2" t="s">
        <v>56</v>
      </c>
      <c r="G24" s="2">
        <v>6</v>
      </c>
      <c r="H24" s="2" t="str">
        <f t="shared" si="0"/>
        <v>DATETIME(6)</v>
      </c>
      <c r="I24" s="2" t="b">
        <v>0</v>
      </c>
      <c r="J24" s="2" t="b">
        <v>0</v>
      </c>
      <c r="K24" s="2"/>
      <c r="L24" s="2"/>
      <c r="M24" s="2"/>
      <c r="N24" s="2"/>
      <c r="O24" s="2" t="str">
        <f t="shared" si="1"/>
        <v>MSRMT_DTM DATETIME(6) NOT NULL COMMENT "측정일시",</v>
      </c>
    </row>
    <row r="25" spans="2:15">
      <c r="B25" s="4" t="s">
        <v>31</v>
      </c>
      <c r="C25" s="4" t="s">
        <v>61</v>
      </c>
      <c r="D25" s="2" t="s">
        <v>33</v>
      </c>
      <c r="E25" s="2" t="s">
        <v>83</v>
      </c>
      <c r="F25" s="2" t="s">
        <v>54</v>
      </c>
      <c r="G25" s="2" t="s">
        <v>55</v>
      </c>
      <c r="H25" s="2" t="str">
        <f t="shared" si="0"/>
        <v>DECIMAL(4,8)</v>
      </c>
      <c r="I25" s="2" t="b">
        <v>0</v>
      </c>
      <c r="J25" s="2" t="b">
        <v>0</v>
      </c>
      <c r="K25" s="2"/>
      <c r="L25" s="2"/>
      <c r="M25" s="2"/>
      <c r="N25" s="2"/>
      <c r="O25" s="2" t="str">
        <f t="shared" si="1"/>
        <v>MSRMT_FQNC DECIMAL(4,8) NOT NULL COMMENT "측정 주파수(Hz)",</v>
      </c>
    </row>
    <row r="26" spans="2:15">
      <c r="B26" s="4" t="s">
        <v>31</v>
      </c>
      <c r="C26" s="4" t="s">
        <v>61</v>
      </c>
      <c r="D26" s="2" t="s">
        <v>34</v>
      </c>
      <c r="E26" s="2" t="s">
        <v>84</v>
      </c>
      <c r="F26" s="2" t="s">
        <v>54</v>
      </c>
      <c r="G26" s="2" t="s">
        <v>55</v>
      </c>
      <c r="H26" s="2" t="str">
        <f t="shared" si="0"/>
        <v>DECIMAL(4,8)</v>
      </c>
      <c r="I26" s="2" t="b">
        <v>0</v>
      </c>
      <c r="J26" s="2" t="b">
        <v>0</v>
      </c>
      <c r="K26" s="2"/>
      <c r="L26" s="2"/>
      <c r="M26" s="2"/>
      <c r="N26" s="2"/>
      <c r="O26" s="2" t="str">
        <f t="shared" si="1"/>
        <v>MSRMT_TM DECIMAL(4,8) NOT NULL COMMENT "측정시간",</v>
      </c>
    </row>
    <row r="27" spans="2:15">
      <c r="B27" s="4" t="s">
        <v>31</v>
      </c>
      <c r="C27" s="4" t="s">
        <v>61</v>
      </c>
      <c r="D27" s="2" t="s">
        <v>35</v>
      </c>
      <c r="E27" s="2" t="s">
        <v>85</v>
      </c>
      <c r="F27" s="2" t="s">
        <v>53</v>
      </c>
      <c r="G27" s="2">
        <v>255</v>
      </c>
      <c r="H27" s="2" t="str">
        <f t="shared" si="0"/>
        <v>VARCHAR(255)</v>
      </c>
      <c r="I27" s="2" t="b">
        <v>0</v>
      </c>
      <c r="J27" s="2" t="b">
        <v>0</v>
      </c>
      <c r="K27" s="2"/>
      <c r="L27" s="2"/>
      <c r="M27" s="2"/>
      <c r="N27" s="2"/>
      <c r="O27" s="2" t="str">
        <f t="shared" si="1"/>
        <v>FILE_CRSE VARCHAR(255) NOT NULL COMMENT "파일 경로",</v>
      </c>
    </row>
    <row r="28" spans="2:15">
      <c r="B28" s="4" t="s">
        <v>31</v>
      </c>
      <c r="C28" s="4" t="s">
        <v>61</v>
      </c>
      <c r="D28" s="2" t="s">
        <v>36</v>
      </c>
      <c r="E28" s="2" t="s">
        <v>86</v>
      </c>
      <c r="F28" s="2" t="s">
        <v>53</v>
      </c>
      <c r="G28" s="2">
        <v>10</v>
      </c>
      <c r="H28" s="2" t="str">
        <f t="shared" si="0"/>
        <v>VARCHAR(10)</v>
      </c>
      <c r="I28" s="2" t="b">
        <v>0</v>
      </c>
      <c r="J28" s="2" t="b">
        <v>0</v>
      </c>
      <c r="K28" s="2"/>
      <c r="L28" s="2"/>
      <c r="M28" s="2" t="s">
        <v>98</v>
      </c>
      <c r="N28" s="2"/>
      <c r="O28" s="2" t="str">
        <f t="shared" si="1"/>
        <v>ANLSS_STTS VARCHAR(10) NOT NULL DEFAULT 대기 COMMENT "분석 상태",</v>
      </c>
    </row>
    <row r="29" spans="2:15">
      <c r="B29" s="4" t="s">
        <v>37</v>
      </c>
      <c r="C29" s="4" t="s">
        <v>62</v>
      </c>
      <c r="D29" s="2" t="s">
        <v>46</v>
      </c>
      <c r="E29" s="2" t="s">
        <v>87</v>
      </c>
      <c r="F29" s="2" t="s">
        <v>53</v>
      </c>
      <c r="G29" s="2">
        <v>20</v>
      </c>
      <c r="H29" s="2" t="str">
        <f t="shared" si="0"/>
        <v>VARCHAR(20)</v>
      </c>
      <c r="I29" s="2" t="b">
        <v>0</v>
      </c>
      <c r="J29" s="2" t="b">
        <v>1</v>
      </c>
      <c r="K29" s="2"/>
      <c r="L29" s="2"/>
      <c r="M29" s="2"/>
      <c r="N29" s="2"/>
      <c r="O29" s="2" t="str">
        <f t="shared" si="1"/>
        <v>ANLSS_RSLT_CONNO VARCHAR(20) PRIMARY KEY COMMENT "분석 결과 일련번호",</v>
      </c>
    </row>
    <row r="30" spans="2:15">
      <c r="B30" s="4" t="s">
        <v>37</v>
      </c>
      <c r="C30" s="4" t="s">
        <v>62</v>
      </c>
      <c r="D30" s="2" t="s">
        <v>45</v>
      </c>
      <c r="E30" s="2" t="s">
        <v>81</v>
      </c>
      <c r="F30" s="2" t="s">
        <v>53</v>
      </c>
      <c r="G30" s="2">
        <v>20</v>
      </c>
      <c r="H30" s="2" t="str">
        <f t="shared" si="0"/>
        <v>VARCHAR(20)</v>
      </c>
      <c r="I30" s="2" t="b">
        <v>0</v>
      </c>
      <c r="J30" s="2" t="b">
        <v>0</v>
      </c>
      <c r="K30" s="4" t="s">
        <v>61</v>
      </c>
      <c r="L30" s="2" t="s">
        <v>81</v>
      </c>
      <c r="M30" s="2"/>
      <c r="N30" s="2"/>
      <c r="O30" s="2" t="str">
        <f t="shared" si="1"/>
        <v>MSRMT_INFO_CONNO VARCHAR(20) NOT NULL COMMENT "측정 정보 일련번호",</v>
      </c>
    </row>
    <row r="31" spans="2:15">
      <c r="B31" s="4" t="s">
        <v>37</v>
      </c>
      <c r="C31" s="4" t="s">
        <v>62</v>
      </c>
      <c r="D31" s="2" t="s">
        <v>38</v>
      </c>
      <c r="E31" s="2" t="s">
        <v>88</v>
      </c>
      <c r="F31" s="2" t="s">
        <v>53</v>
      </c>
      <c r="G31" s="2">
        <v>20</v>
      </c>
      <c r="H31" s="2" t="str">
        <f t="shared" si="0"/>
        <v>VARCHAR(20)</v>
      </c>
      <c r="I31" s="2" t="b">
        <v>0</v>
      </c>
      <c r="J31" s="2" t="b">
        <v>0</v>
      </c>
      <c r="K31" s="4" t="s">
        <v>63</v>
      </c>
      <c r="L31" s="2" t="s">
        <v>88</v>
      </c>
      <c r="M31" s="2"/>
      <c r="N31" s="2"/>
      <c r="O31" s="2" t="str">
        <f t="shared" si="1"/>
        <v>ANLSS_ALGRT_CONNO VARCHAR(20) NOT NULL COMMENT "분석 알고리즘 일련번호",</v>
      </c>
    </row>
    <row r="32" spans="2:15">
      <c r="B32" s="4" t="s">
        <v>37</v>
      </c>
      <c r="C32" s="4" t="s">
        <v>62</v>
      </c>
      <c r="D32" s="2" t="s">
        <v>39</v>
      </c>
      <c r="E32" s="2" t="s">
        <v>89</v>
      </c>
      <c r="F32" s="2" t="s">
        <v>53</v>
      </c>
      <c r="G32" s="2">
        <v>20</v>
      </c>
      <c r="H32" s="2" t="str">
        <f t="shared" si="0"/>
        <v>VARCHAR(20)</v>
      </c>
      <c r="I32" s="2" t="b">
        <v>0</v>
      </c>
      <c r="J32" s="2" t="b">
        <v>0</v>
      </c>
      <c r="K32" s="4" t="s">
        <v>64</v>
      </c>
      <c r="L32" s="2" t="s">
        <v>89</v>
      </c>
      <c r="M32" s="2"/>
      <c r="N32" s="2"/>
      <c r="O32" s="2" t="str">
        <f t="shared" si="1"/>
        <v>FLW_CONNO VARCHAR(20) NOT NULL COMMENT "결함 일련번호",</v>
      </c>
    </row>
    <row r="33" spans="2:15">
      <c r="B33" s="4" t="s">
        <v>37</v>
      </c>
      <c r="C33" s="4" t="s">
        <v>62</v>
      </c>
      <c r="D33" s="2" t="s">
        <v>42</v>
      </c>
      <c r="E33" s="2" t="s">
        <v>94</v>
      </c>
      <c r="F33" t="s">
        <v>54</v>
      </c>
      <c r="G33" s="2" t="s">
        <v>97</v>
      </c>
      <c r="H33" s="2" t="str">
        <f t="shared" si="0"/>
        <v>DECIMAL(1,4)</v>
      </c>
      <c r="I33" s="2" t="b">
        <v>0</v>
      </c>
      <c r="J33" s="2" t="b">
        <v>0</v>
      </c>
      <c r="K33" s="2"/>
      <c r="L33" s="2"/>
      <c r="M33" s="2"/>
      <c r="N33" s="2"/>
      <c r="O33" s="2" t="str">
        <f t="shared" si="1"/>
        <v>JDGMN_VAL DECIMAL(1,4) NOT NULL COMMENT "판정값",</v>
      </c>
    </row>
    <row r="34" spans="2:15">
      <c r="B34" s="4" t="s">
        <v>43</v>
      </c>
      <c r="C34" s="4" t="s">
        <v>63</v>
      </c>
      <c r="D34" s="2" t="s">
        <v>38</v>
      </c>
      <c r="E34" s="2" t="s">
        <v>88</v>
      </c>
      <c r="F34" s="2" t="s">
        <v>53</v>
      </c>
      <c r="G34" s="2">
        <v>20</v>
      </c>
      <c r="H34" s="2" t="str">
        <f t="shared" si="0"/>
        <v>VARCHAR(20)</v>
      </c>
      <c r="I34" s="2" t="b">
        <v>0</v>
      </c>
      <c r="J34" s="2" t="b">
        <v>1</v>
      </c>
      <c r="K34" s="2"/>
      <c r="L34" s="2"/>
      <c r="M34" s="2"/>
      <c r="N34" s="2"/>
      <c r="O34" s="2" t="str">
        <f t="shared" si="1"/>
        <v>ANLSS_ALGRT_CONNO VARCHAR(20) PRIMARY KEY COMMENT "분석 알고리즘 일련번호",</v>
      </c>
    </row>
    <row r="35" spans="2:15">
      <c r="B35" s="4" t="s">
        <v>43</v>
      </c>
      <c r="C35" s="4" t="s">
        <v>63</v>
      </c>
      <c r="D35" s="2" t="s">
        <v>47</v>
      </c>
      <c r="E35" s="2" t="s">
        <v>92</v>
      </c>
      <c r="F35" s="2" t="s">
        <v>53</v>
      </c>
      <c r="G35" s="2">
        <v>20</v>
      </c>
      <c r="H35" s="2" t="str">
        <f t="shared" si="0"/>
        <v>VARCHAR(20)</v>
      </c>
      <c r="I35" s="2" t="b">
        <v>0</v>
      </c>
      <c r="J35" s="2" t="b">
        <v>0</v>
      </c>
      <c r="K35" s="2"/>
      <c r="L35" s="2"/>
      <c r="M35" s="2"/>
      <c r="N35" s="2"/>
      <c r="O35" s="2" t="str">
        <f t="shared" si="1"/>
        <v>ALGRT_NM VARCHAR(20) NOT NULL COMMENT "알고리즘명",</v>
      </c>
    </row>
    <row r="36" spans="2:15">
      <c r="B36" s="4" t="s">
        <v>43</v>
      </c>
      <c r="C36" s="4" t="s">
        <v>63</v>
      </c>
      <c r="D36" s="2" t="s">
        <v>48</v>
      </c>
      <c r="E36" s="2" t="s">
        <v>91</v>
      </c>
      <c r="F36" s="2" t="s">
        <v>53</v>
      </c>
      <c r="G36" s="2">
        <v>255</v>
      </c>
      <c r="H36" s="2" t="str">
        <f t="shared" si="0"/>
        <v>VARCHAR(255)</v>
      </c>
      <c r="I36" s="2" t="b">
        <v>0</v>
      </c>
      <c r="J36" s="2" t="b">
        <v>0</v>
      </c>
      <c r="K36" s="2"/>
      <c r="L36" s="2"/>
      <c r="M36" s="2"/>
      <c r="N36" s="2"/>
      <c r="O36" s="2" t="str">
        <f t="shared" si="1"/>
        <v>MODEL_FILE_CRSE VARCHAR(255) NOT NULL COMMENT "모델 파일 경로",</v>
      </c>
    </row>
    <row r="37" spans="2:15">
      <c r="B37" s="4" t="s">
        <v>43</v>
      </c>
      <c r="C37" s="4" t="s">
        <v>63</v>
      </c>
      <c r="D37" s="2" t="s">
        <v>49</v>
      </c>
      <c r="E37" s="2" t="s">
        <v>93</v>
      </c>
      <c r="F37" s="2" t="s">
        <v>53</v>
      </c>
      <c r="G37" s="2">
        <v>20</v>
      </c>
      <c r="H37" s="2" t="str">
        <f t="shared" si="0"/>
        <v>VARCHAR(20)</v>
      </c>
      <c r="I37" s="2" t="b">
        <v>0</v>
      </c>
      <c r="J37" s="2" t="b">
        <v>0</v>
      </c>
      <c r="K37" s="2"/>
      <c r="L37" s="2"/>
      <c r="M37" s="2"/>
      <c r="N37" s="2"/>
      <c r="O37" s="2" t="str">
        <f t="shared" si="1"/>
        <v>MODEL_FILE_FORM VARCHAR(20) NOT NULL COMMENT "모델 파일 형식",</v>
      </c>
    </row>
    <row r="38" spans="2:15">
      <c r="B38" s="4" t="s">
        <v>50</v>
      </c>
      <c r="C38" s="4" t="s">
        <v>64</v>
      </c>
      <c r="D38" s="2" t="s">
        <v>39</v>
      </c>
      <c r="E38" s="2" t="s">
        <v>89</v>
      </c>
      <c r="F38" s="2" t="s">
        <v>53</v>
      </c>
      <c r="G38" s="2">
        <v>20</v>
      </c>
      <c r="H38" s="2" t="str">
        <f t="shared" si="0"/>
        <v>VARCHAR(20)</v>
      </c>
      <c r="I38" s="2" t="b">
        <v>0</v>
      </c>
      <c r="J38" s="2" t="b">
        <v>1</v>
      </c>
      <c r="K38" s="2"/>
      <c r="L38" s="2"/>
      <c r="M38" s="2"/>
      <c r="N38" s="2"/>
      <c r="O38" s="2" t="str">
        <f t="shared" si="1"/>
        <v>FLW_CONNO VARCHAR(20) PRIMARY KEY COMMENT "결함 일련번호",</v>
      </c>
    </row>
    <row r="39" spans="2:15">
      <c r="B39" s="4" t="s">
        <v>50</v>
      </c>
      <c r="C39" s="4" t="s">
        <v>64</v>
      </c>
      <c r="D39" s="2" t="s">
        <v>51</v>
      </c>
      <c r="E39" s="2" t="s">
        <v>90</v>
      </c>
      <c r="F39" s="2" t="s">
        <v>53</v>
      </c>
      <c r="G39" s="2">
        <v>50</v>
      </c>
      <c r="H39" s="2" t="str">
        <f t="shared" si="0"/>
        <v>VARCHAR(50)</v>
      </c>
      <c r="I39" s="2" t="b">
        <v>0</v>
      </c>
      <c r="J39" s="2" t="b">
        <v>0</v>
      </c>
      <c r="K39" s="2"/>
      <c r="L39" s="2"/>
      <c r="M39" s="2"/>
      <c r="N39" s="2"/>
      <c r="O39" s="2" t="str">
        <f t="shared" si="1"/>
        <v>FLW_NM VARCHAR(50) NOT NULL COMMENT "결함명",</v>
      </c>
    </row>
  </sheetData>
  <phoneticPr fontId="2" type="noConversion"/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GB-DEV-009</dc:creator>
  <cp:lastModifiedBy>GB-DEV-009</cp:lastModifiedBy>
  <cp:lastPrinted>2021-01-29T08:22:04Z</cp:lastPrinted>
  <dcterms:created xsi:type="dcterms:W3CDTF">2021-01-29T05:05:22Z</dcterms:created>
  <dcterms:modified xsi:type="dcterms:W3CDTF">2021-01-29T08:51:18Z</dcterms:modified>
</cp:coreProperties>
</file>